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3.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hidePivotFieldList="1" defaultThemeVersion="202300"/>
  <mc:AlternateContent xmlns:mc="http://schemas.openxmlformats.org/markup-compatibility/2006">
    <mc:Choice Requires="x15">
      <x15ac:absPath xmlns:x15ac="http://schemas.microsoft.com/office/spreadsheetml/2010/11/ac" url="/Users/michaelessiful/Desktop/Data Analysis/Hospital Analysis/"/>
    </mc:Choice>
  </mc:AlternateContent>
  <xr:revisionPtr revIDLastSave="0" documentId="8_{A272A84D-4CDA-5546-9599-A1616831802A}" xr6:coauthVersionLast="47" xr6:coauthVersionMax="47" xr10:uidLastSave="{00000000-0000-0000-0000-000000000000}"/>
  <bookViews>
    <workbookView xWindow="16520" yWindow="800" windowWidth="17680" windowHeight="21440" activeTab="9" xr2:uid="{70AD7BDE-1C0A-CF49-AF40-7D5385BBD3E8}"/>
  </bookViews>
  <sheets>
    <sheet name="Hospital_Bed_Capacity" sheetId="2" state="hidden" r:id="rId1"/>
    <sheet name="Hospital_Bed_Capacity_New" sheetId="3" state="hidden" r:id="rId2"/>
    <sheet name="Delta Capacity" sheetId="9" state="hidden" r:id="rId3"/>
    <sheet name="staffing efficiency change" sheetId="13" state="hidden" r:id="rId4"/>
    <sheet name="ICU heatmap" sheetId="14" state="hidden" r:id="rId5"/>
    <sheet name="Departmental occupancy" sheetId="15" state="hidden" r:id="rId6"/>
    <sheet name="Staff Workload" sheetId="16" state="hidden" r:id="rId7"/>
    <sheet name="Totals" sheetId="17" state="hidden" r:id="rId8"/>
    <sheet name="Hospital_bed_capacity_old_new" sheetId="5" state="hidden" r:id="rId9"/>
    <sheet name="Dashboard" sheetId="4" r:id="rId10"/>
  </sheets>
  <definedNames>
    <definedName name="ExternalData_1" localSheetId="0" hidden="1">Hospital_Bed_Capacity!$A$1:$G$26</definedName>
    <definedName name="ExternalData_1" localSheetId="1" hidden="1">Hospital_Bed_Capacity_New!$A$1:$I$26</definedName>
    <definedName name="Slicer_Department">#N/A</definedName>
  </definedNames>
  <calcPr calcId="191029"/>
  <pivotCaches>
    <pivotCache cacheId="7" r:id="rId11"/>
  </pivotCaches>
  <fileRecoveryPr repairLoad="1"/>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 i="5" l="1"/>
  <c r="Z9" i="5"/>
  <c r="Z10" i="5"/>
  <c r="Z13" i="5"/>
  <c r="Z19" i="5"/>
  <c r="Z20" i="5"/>
  <c r="Z23" i="5"/>
  <c r="X4" i="5"/>
  <c r="X5" i="5"/>
  <c r="X6" i="5"/>
  <c r="X7" i="5"/>
  <c r="X8" i="5"/>
  <c r="X9" i="5"/>
  <c r="X10" i="5"/>
  <c r="X11" i="5"/>
  <c r="X12" i="5"/>
  <c r="X13" i="5"/>
  <c r="X14" i="5"/>
  <c r="X15" i="5"/>
  <c r="X16" i="5"/>
  <c r="X17" i="5"/>
  <c r="X18" i="5"/>
  <c r="X19" i="5"/>
  <c r="X20" i="5"/>
  <c r="X21" i="5"/>
  <c r="X22" i="5"/>
  <c r="X23" i="5"/>
  <c r="X24" i="5"/>
  <c r="X25" i="5"/>
  <c r="X26" i="5"/>
  <c r="X27" i="5"/>
  <c r="X3" i="5"/>
  <c r="U4" i="5"/>
  <c r="W4" i="5" s="1"/>
  <c r="U5" i="5"/>
  <c r="W5" i="5" s="1"/>
  <c r="U6" i="5"/>
  <c r="W6" i="5" s="1"/>
  <c r="U7" i="5"/>
  <c r="W7" i="5" s="1"/>
  <c r="U8" i="5"/>
  <c r="W8" i="5" s="1"/>
  <c r="U9" i="5"/>
  <c r="W9" i="5" s="1"/>
  <c r="U10" i="5"/>
  <c r="W10" i="5" s="1"/>
  <c r="U11" i="5"/>
  <c r="W11" i="5" s="1"/>
  <c r="U12" i="5"/>
  <c r="W12" i="5" s="1"/>
  <c r="U13" i="5"/>
  <c r="W13" i="5" s="1"/>
  <c r="U14" i="5"/>
  <c r="W14" i="5" s="1"/>
  <c r="U15" i="5"/>
  <c r="W15" i="5" s="1"/>
  <c r="U16" i="5"/>
  <c r="W16" i="5" s="1"/>
  <c r="U17" i="5"/>
  <c r="W17" i="5" s="1"/>
  <c r="U18" i="5"/>
  <c r="W18" i="5" s="1"/>
  <c r="U19" i="5"/>
  <c r="W19" i="5" s="1"/>
  <c r="U20" i="5"/>
  <c r="W20" i="5" s="1"/>
  <c r="U21" i="5"/>
  <c r="W21" i="5" s="1"/>
  <c r="U22" i="5"/>
  <c r="W22" i="5" s="1"/>
  <c r="U23" i="5"/>
  <c r="W23" i="5" s="1"/>
  <c r="U24" i="5"/>
  <c r="W24" i="5" s="1"/>
  <c r="U25" i="5"/>
  <c r="W25" i="5" s="1"/>
  <c r="U26" i="5"/>
  <c r="W26" i="5" s="1"/>
  <c r="U27" i="5"/>
  <c r="W27" i="5" s="1"/>
  <c r="U3" i="5"/>
  <c r="W3" i="5" s="1"/>
  <c r="S4" i="5"/>
  <c r="S5" i="5"/>
  <c r="S6" i="5"/>
  <c r="S7" i="5"/>
  <c r="S8" i="5"/>
  <c r="S9" i="5"/>
  <c r="S10" i="5"/>
  <c r="S11" i="5"/>
  <c r="S12" i="5"/>
  <c r="S13" i="5"/>
  <c r="S14" i="5"/>
  <c r="S15" i="5"/>
  <c r="S16" i="5"/>
  <c r="S17" i="5"/>
  <c r="S18" i="5"/>
  <c r="S19" i="5"/>
  <c r="S20" i="5"/>
  <c r="S21" i="5"/>
  <c r="S22" i="5"/>
  <c r="S23" i="5"/>
  <c r="S24" i="5"/>
  <c r="S25" i="5"/>
  <c r="S26" i="5"/>
  <c r="S27" i="5"/>
  <c r="S3" i="5"/>
  <c r="R4" i="5"/>
  <c r="R5" i="5"/>
  <c r="R6" i="5"/>
  <c r="R7" i="5"/>
  <c r="R8" i="5"/>
  <c r="R9" i="5"/>
  <c r="R10" i="5"/>
  <c r="R11" i="5"/>
  <c r="R12" i="5"/>
  <c r="R13" i="5"/>
  <c r="R14" i="5"/>
  <c r="R15" i="5"/>
  <c r="R16" i="5"/>
  <c r="R17" i="5"/>
  <c r="R18" i="5"/>
  <c r="R19" i="5"/>
  <c r="R20" i="5"/>
  <c r="R21" i="5"/>
  <c r="R22" i="5"/>
  <c r="R23" i="5"/>
  <c r="R24" i="5"/>
  <c r="R25" i="5"/>
  <c r="R26" i="5"/>
  <c r="R27" i="5"/>
  <c r="R3" i="5"/>
  <c r="P4" i="5"/>
  <c r="P5" i="5"/>
  <c r="P6" i="5"/>
  <c r="P7" i="5"/>
  <c r="P8" i="5"/>
  <c r="P9" i="5"/>
  <c r="P10" i="5"/>
  <c r="P11" i="5"/>
  <c r="P12" i="5"/>
  <c r="P13" i="5"/>
  <c r="P14" i="5"/>
  <c r="P15" i="5"/>
  <c r="P16" i="5"/>
  <c r="P17" i="5"/>
  <c r="P18" i="5"/>
  <c r="P19" i="5"/>
  <c r="P20" i="5"/>
  <c r="P21" i="5"/>
  <c r="P22" i="5"/>
  <c r="P23" i="5"/>
  <c r="P24" i="5"/>
  <c r="P25" i="5"/>
  <c r="P26" i="5"/>
  <c r="P27" i="5"/>
  <c r="P3" i="5"/>
  <c r="N4" i="5"/>
  <c r="N5" i="5"/>
  <c r="N6" i="5"/>
  <c r="N7" i="5"/>
  <c r="N8" i="5"/>
  <c r="N9" i="5"/>
  <c r="N10" i="5"/>
  <c r="N11" i="5"/>
  <c r="N12" i="5"/>
  <c r="N13" i="5"/>
  <c r="N14" i="5"/>
  <c r="N15" i="5"/>
  <c r="N16" i="5"/>
  <c r="N17" i="5"/>
  <c r="N18" i="5"/>
  <c r="N19" i="5"/>
  <c r="N20" i="5"/>
  <c r="N21" i="5"/>
  <c r="N22" i="5"/>
  <c r="N23" i="5"/>
  <c r="N24" i="5"/>
  <c r="N25" i="5"/>
  <c r="N26" i="5"/>
  <c r="N27" i="5"/>
  <c r="N3" i="5"/>
  <c r="Z22" i="5" l="1"/>
  <c r="Z12" i="5"/>
  <c r="Z21" i="5"/>
  <c r="Z11" i="5"/>
  <c r="Z8" i="5"/>
  <c r="Z27" i="5"/>
  <c r="Z26" i="5"/>
  <c r="Z16" i="5"/>
  <c r="Z6" i="5"/>
  <c r="Z3" i="5"/>
  <c r="Z17" i="5"/>
  <c r="Z25" i="5"/>
  <c r="Z15" i="5"/>
  <c r="Z5" i="5"/>
  <c r="Z18" i="5"/>
  <c r="Z24" i="5"/>
  <c r="Z14" i="5"/>
  <c r="Z4" i="5"/>
  <c r="T21" i="5"/>
  <c r="T11" i="5"/>
  <c r="T20" i="5"/>
  <c r="T10" i="5"/>
  <c r="T19" i="5"/>
  <c r="T9" i="5"/>
  <c r="T3" i="5"/>
  <c r="T8" i="5"/>
  <c r="T18" i="5"/>
  <c r="T27" i="5"/>
  <c r="T17" i="5"/>
  <c r="T7" i="5"/>
  <c r="T23" i="5"/>
  <c r="T13" i="5"/>
  <c r="T22" i="5"/>
  <c r="T12" i="5"/>
  <c r="T26" i="5"/>
  <c r="T16" i="5"/>
  <c r="T6" i="5"/>
  <c r="T25" i="5"/>
  <c r="T15" i="5"/>
  <c r="T5" i="5"/>
  <c r="T24" i="5"/>
  <c r="T14" i="5"/>
  <c r="T4" i="5"/>
  <c r="V7" i="5" l="1"/>
  <c r="Y7" i="5"/>
  <c r="V15" i="5"/>
  <c r="Y15" i="5"/>
  <c r="V17" i="5"/>
  <c r="Y17" i="5"/>
  <c r="V21" i="5"/>
  <c r="Y21" i="5"/>
  <c r="V25" i="5"/>
  <c r="Y25" i="5"/>
  <c r="V18" i="5"/>
  <c r="Y18" i="5"/>
  <c r="V16" i="5"/>
  <c r="Y16" i="5"/>
  <c r="V22" i="5"/>
  <c r="Y22" i="5"/>
  <c r="V11" i="5"/>
  <c r="Y11" i="5"/>
  <c r="V27" i="5"/>
  <c r="Y27" i="5"/>
  <c r="V6" i="5"/>
  <c r="Y6" i="5"/>
  <c r="V8" i="5"/>
  <c r="Y8" i="5"/>
  <c r="V26" i="5"/>
  <c r="Y26" i="5"/>
  <c r="V14" i="5"/>
  <c r="Y14" i="5"/>
  <c r="V10" i="5"/>
  <c r="Y10" i="5"/>
  <c r="V5" i="5"/>
  <c r="Y5" i="5"/>
  <c r="V3" i="5"/>
  <c r="Y3" i="5"/>
  <c r="V12" i="5"/>
  <c r="Y12" i="5"/>
  <c r="V9" i="5"/>
  <c r="Y9" i="5"/>
  <c r="V4" i="5"/>
  <c r="Y4" i="5"/>
  <c r="V19" i="5"/>
  <c r="Y19" i="5"/>
  <c r="V13" i="5"/>
  <c r="Y13" i="5"/>
  <c r="V24" i="5"/>
  <c r="Y24" i="5"/>
  <c r="V23" i="5"/>
  <c r="Y23" i="5"/>
  <c r="V20" i="5"/>
  <c r="Y2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1D47E3-6FC3-A742-9248-8975DC72EAF1}" keepAlive="1" name="Query - Hospital_Bed_Capacity" description="Connection to the 'Hospital_Bed_Capacity' query in the workbook." type="5" refreshedVersion="8" background="1" saveData="1">
    <dbPr connection="Provider=Microsoft.Mashup.OleDb.1;Data Source=$Workbook$;Location=Hospital_Bed_Capacity;Extended Properties=&quot;&quot;" command="SELECT * FROM [Hospital_Bed_Capacity]"/>
  </connection>
  <connection id="2" xr16:uid="{186C5365-9610-1142-BF6A-0E26332F5B87}" keepAlive="1" name="Query - Hospital_Bed_Capacity_New" description="Connection to the 'Hospital_Bed_Capacity_New' query in the workbook." type="5" refreshedVersion="8" background="1" saveData="1">
    <dbPr connection="Provider=Microsoft.Mashup.OleDb.1;Data Source=$Workbook$;Location=Hospital_Bed_Capacity_New;Extended Properties=&quot;&quot;" command="SELECT * FROM [Hospital_Bed_Capacity_New]"/>
  </connection>
</connections>
</file>

<file path=xl/sharedStrings.xml><?xml version="1.0" encoding="utf-8"?>
<sst xmlns="http://schemas.openxmlformats.org/spreadsheetml/2006/main" count="393" uniqueCount="91">
  <si>
    <t>Department</t>
  </si>
  <si>
    <t>Total_Beds</t>
  </si>
  <si>
    <t>Free_Beds</t>
  </si>
  <si>
    <t>Total_ICU_Beds</t>
  </si>
  <si>
    <t>Free_ICU_Beds</t>
  </si>
  <si>
    <t>Total_Amount_of_Beds</t>
  </si>
  <si>
    <t>Staff_On_Duty</t>
  </si>
  <si>
    <t>Emergency Department (ED)</t>
  </si>
  <si>
    <t>Trauma Center</t>
  </si>
  <si>
    <t>General Surgery</t>
  </si>
  <si>
    <t>Cardiac Surgery</t>
  </si>
  <si>
    <t>Neurosurgery</t>
  </si>
  <si>
    <t>Orthopedic Surgery</t>
  </si>
  <si>
    <t>Internal Medicine</t>
  </si>
  <si>
    <t>Cardiology</t>
  </si>
  <si>
    <t>Neurology</t>
  </si>
  <si>
    <t>Gastroenterology</t>
  </si>
  <si>
    <t>Pulmonology</t>
  </si>
  <si>
    <t>Infectious Diseases</t>
  </si>
  <si>
    <t>Oncology</t>
  </si>
  <si>
    <t>Nephrology</t>
  </si>
  <si>
    <t>Endocrinology</t>
  </si>
  <si>
    <t>Pediatrics General</t>
  </si>
  <si>
    <t>Pediatric ICU (PICU)</t>
  </si>
  <si>
    <t>Neonatal ICU (NICU)</t>
  </si>
  <si>
    <t>Obstetrics &amp; Gynecology (O&amp;G)</t>
  </si>
  <si>
    <t>Burn Unit</t>
  </si>
  <si>
    <t>Transplant Unit</t>
  </si>
  <si>
    <t>Rehabilitation Unit</t>
  </si>
  <si>
    <t>Psychiatry</t>
  </si>
  <si>
    <t>Long-Term Care</t>
  </si>
  <si>
    <t>Palliative Care</t>
  </si>
  <si>
    <t>Occupied_Beds</t>
  </si>
  <si>
    <t>Occupied_ICU_Beds</t>
  </si>
  <si>
    <t>HOSPITAL BED DATASET COMBINED</t>
  </si>
  <si>
    <t xml:space="preserve"> Nephrology</t>
  </si>
  <si>
    <t xml:space="preserve"> Pediatric ICU (PICU)</t>
  </si>
  <si>
    <t xml:space="preserve"> Obstetrics &amp; Gynecology (O&amp;G)</t>
  </si>
  <si>
    <t xml:space="preserve"> Psychiatry</t>
  </si>
  <si>
    <t>Row Labels</t>
  </si>
  <si>
    <t>Grand Total</t>
  </si>
  <si>
    <t>Total_bed_Old</t>
  </si>
  <si>
    <t>Total_bed_new</t>
  </si>
  <si>
    <t>Free_beds_old</t>
  </si>
  <si>
    <t>Free_bed_new</t>
  </si>
  <si>
    <t>ICU_beds_old</t>
  </si>
  <si>
    <t>ICU_bed_new</t>
  </si>
  <si>
    <t>Free_ICU_beds_old</t>
  </si>
  <si>
    <t>Free_ICU_bed_new</t>
  </si>
  <si>
    <t>Total_amount_of_bed_old</t>
  </si>
  <si>
    <t>Total_amount_of_bed_new</t>
  </si>
  <si>
    <t>staff_on_duty_old</t>
  </si>
  <si>
    <t>staff_on_duty_new</t>
  </si>
  <si>
    <t>occupied_beds_old</t>
  </si>
  <si>
    <t>occupied_beds_new</t>
  </si>
  <si>
    <t>occupied_ICU_beds_old</t>
  </si>
  <si>
    <t>occupied_ICU_beds_new</t>
  </si>
  <si>
    <t>staff_to_bed_ratio_old</t>
  </si>
  <si>
    <t>staff_to_bed_ratio_new</t>
  </si>
  <si>
    <t>total_occupied_bed_old</t>
  </si>
  <si>
    <t>total_occupied_bed_new</t>
  </si>
  <si>
    <t>occupancy_rate_old</t>
  </si>
  <si>
    <t>occupancy_rate_new</t>
  </si>
  <si>
    <t>Delta_capacity</t>
  </si>
  <si>
    <t>Sum of Delta_capacity</t>
  </si>
  <si>
    <t>Sum of staff_to_bed_ratio_old</t>
  </si>
  <si>
    <t>Sum of staff_to_bed_ratio_new</t>
  </si>
  <si>
    <t>Sum of ICU_bed_new</t>
  </si>
  <si>
    <t>Sum of ICU_beds_old</t>
  </si>
  <si>
    <t>Sum of occupancy_rate_new</t>
  </si>
  <si>
    <t>Sum of occupancy_rate_old</t>
  </si>
  <si>
    <t>staff_to_patient_ratio_old</t>
  </si>
  <si>
    <t>staff_to_patient_ratio_new</t>
  </si>
  <si>
    <t>Sum of staff_to_patient_ratio_old</t>
  </si>
  <si>
    <t>Sum of staff_to_patient_ratio_new</t>
  </si>
  <si>
    <t>Sum of total_occupied_bed_old</t>
  </si>
  <si>
    <t>Sum of total_occupied_bed_new</t>
  </si>
  <si>
    <t>Sum of Total_amount_of_bed_old</t>
  </si>
  <si>
    <t>Sum of Total_amount_of_bed_new</t>
  </si>
  <si>
    <t>Total Patients Visit</t>
  </si>
  <si>
    <t>Total: Department Capacity</t>
  </si>
  <si>
    <t>Nurses Available</t>
  </si>
  <si>
    <t>Sum of staff_on_duty_old</t>
  </si>
  <si>
    <t>Sum of staff_on_duty_new</t>
  </si>
  <si>
    <t>Average of occupied_beds_new</t>
  </si>
  <si>
    <t>Average of occupied_beds_old</t>
  </si>
  <si>
    <t>Average patients</t>
  </si>
  <si>
    <t>Values</t>
  </si>
  <si>
    <t>Total visits by department</t>
  </si>
  <si>
    <t>Total occupancy</t>
  </si>
  <si>
    <t>Total occuoancy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</si>
</sst>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2"/>
      <color theme="1"/>
      <name val="Aptos Narrow"/>
      <family val="2"/>
      <scheme val="minor"/>
    </font>
    <font>
      <sz val="12"/>
      <color theme="1"/>
      <name val="Aptos Narrow"/>
      <family val="2"/>
      <scheme val="minor"/>
    </font>
    <font>
      <b/>
      <sz val="12"/>
      <color theme="1"/>
      <name val="Aptos Narrow"/>
      <scheme val="minor"/>
    </font>
    <font>
      <b/>
      <sz val="14"/>
      <color theme="1"/>
      <name val="Aptos Narrow"/>
      <scheme val="minor"/>
    </font>
    <font>
      <b/>
      <sz val="18"/>
      <color theme="1"/>
      <name val="Aptos Narrow"/>
      <scheme val="minor"/>
    </font>
    <font>
      <b/>
      <sz val="20"/>
      <color theme="1"/>
      <name val="Aptos Narrow"/>
      <scheme val="minor"/>
    </font>
    <font>
      <b/>
      <sz val="24"/>
      <color theme="1"/>
      <name val="Aptos Narrow"/>
      <scheme val="minor"/>
    </font>
    <font>
      <sz val="14"/>
      <color theme="1"/>
      <name val="Aptos Narrow"/>
      <family val="2"/>
      <scheme val="minor"/>
    </font>
    <font>
      <sz val="20"/>
      <color theme="1"/>
      <name val="Aptos Narrow"/>
      <family val="2"/>
      <scheme val="minor"/>
    </font>
    <font>
      <b/>
      <sz val="14"/>
      <color theme="1"/>
      <name val="Aptos Narrow (Body)"/>
    </font>
    <font>
      <b/>
      <sz val="12"/>
      <color theme="1"/>
      <name val="Aptos Narrow"/>
      <family val="2"/>
      <scheme val="minor"/>
    </font>
    <font>
      <sz val="12"/>
      <color theme="1"/>
      <name val="Aptos Narrow"/>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2" fillId="0" borderId="0" xfId="0" applyFont="1"/>
    <xf numFmtId="0" fontId="7" fillId="0" borderId="0" xfId="0" applyFont="1"/>
    <xf numFmtId="0" fontId="8" fillId="0" borderId="0" xfId="0" applyFont="1"/>
    <xf numFmtId="2" fontId="0" fillId="0" borderId="0" xfId="0" applyNumberFormat="1"/>
    <xf numFmtId="1" fontId="0" fillId="0" borderId="0" xfId="0" applyNumberFormat="1"/>
    <xf numFmtId="1" fontId="3" fillId="0" borderId="0" xfId="0" applyNumberFormat="1" applyFont="1"/>
    <xf numFmtId="1" fontId="8" fillId="0" borderId="0" xfId="0" applyNumberFormat="1" applyFont="1"/>
    <xf numFmtId="2" fontId="8" fillId="0" borderId="0" xfId="0" applyNumberFormat="1"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9" fillId="0" borderId="0" xfId="0" applyFont="1" applyAlignment="1">
      <alignment horizontal="center"/>
    </xf>
    <xf numFmtId="10" fontId="0" fillId="0" borderId="0" xfId="0" applyNumberFormat="1"/>
    <xf numFmtId="164" fontId="8" fillId="0" borderId="0" xfId="1" applyNumberFormat="1" applyFont="1"/>
    <xf numFmtId="10" fontId="8" fillId="0" borderId="0" xfId="0" applyNumberFormat="1" applyFont="1"/>
    <xf numFmtId="164" fontId="0" fillId="0" borderId="0" xfId="0" applyNumberFormat="1"/>
    <xf numFmtId="0" fontId="0" fillId="2" borderId="0" xfId="0" applyFill="1"/>
    <xf numFmtId="0" fontId="6" fillId="0" borderId="0" xfId="0" applyFont="1" applyAlignment="1">
      <alignment horizontal="center"/>
    </xf>
    <xf numFmtId="0" fontId="10" fillId="3" borderId="1" xfId="0" applyFont="1" applyFill="1" applyBorder="1"/>
    <xf numFmtId="0" fontId="11" fillId="0" borderId="0" xfId="0" applyFont="1"/>
  </cellXfs>
  <cellStyles count="2">
    <cellStyle name="Normal" xfId="0" builtinId="0"/>
    <cellStyle name="Percent" xfId="1" builtinId="5"/>
  </cellStyles>
  <dxfs count="30">
    <dxf>
      <font>
        <b val="0"/>
        <i val="0"/>
        <strike val="0"/>
        <condense val="0"/>
        <extend val="0"/>
        <outline val="0"/>
        <shadow val="0"/>
        <u val="none"/>
        <vertAlign val="baseline"/>
        <sz val="20"/>
        <color theme="1"/>
        <name val="Aptos Narrow"/>
        <family val="2"/>
        <scheme val="minor"/>
      </font>
      <numFmt numFmtId="1" formatCode="0"/>
    </dxf>
    <dxf>
      <font>
        <b val="0"/>
        <i val="0"/>
        <strike val="0"/>
        <condense val="0"/>
        <extend val="0"/>
        <outline val="0"/>
        <shadow val="0"/>
        <u val="none"/>
        <vertAlign val="baseline"/>
        <sz val="20"/>
        <color theme="1"/>
        <name val="Aptos Narrow"/>
        <family val="2"/>
        <scheme val="minor"/>
      </font>
      <numFmt numFmtId="1" formatCode="0"/>
    </dxf>
    <dxf>
      <font>
        <b val="0"/>
        <i val="0"/>
        <strike val="0"/>
        <condense val="0"/>
        <extend val="0"/>
        <outline val="0"/>
        <shadow val="0"/>
        <u val="none"/>
        <vertAlign val="baseline"/>
        <sz val="20"/>
        <color theme="1"/>
        <name val="Aptos Narrow"/>
        <family val="2"/>
        <scheme val="minor"/>
      </font>
      <numFmt numFmtId="1" formatCode="0"/>
    </dxf>
    <dxf>
      <font>
        <b val="0"/>
        <i val="0"/>
        <strike val="0"/>
        <condense val="0"/>
        <extend val="0"/>
        <outline val="0"/>
        <shadow val="0"/>
        <u val="none"/>
        <vertAlign val="baseline"/>
        <sz val="20"/>
        <color theme="1"/>
        <name val="Aptos Narrow"/>
        <family val="2"/>
        <scheme val="minor"/>
      </font>
      <numFmt numFmtId="14" formatCode="0.00%"/>
    </dxf>
    <dxf>
      <font>
        <b val="0"/>
        <i val="0"/>
        <strike val="0"/>
        <condense val="0"/>
        <extend val="0"/>
        <outline val="0"/>
        <shadow val="0"/>
        <u val="none"/>
        <vertAlign val="baseline"/>
        <sz val="20"/>
        <color theme="1"/>
        <name val="Aptos Narrow"/>
        <family val="2"/>
        <scheme val="minor"/>
      </font>
    </dxf>
    <dxf>
      <font>
        <b val="0"/>
        <i val="0"/>
        <strike val="0"/>
        <condense val="0"/>
        <extend val="0"/>
        <outline val="0"/>
        <shadow val="0"/>
        <u val="none"/>
        <vertAlign val="baseline"/>
        <sz val="20"/>
        <color theme="1"/>
        <name val="Aptos Narrow"/>
        <family val="2"/>
        <scheme val="minor"/>
      </font>
      <numFmt numFmtId="1" formatCode="0"/>
    </dxf>
    <dxf>
      <font>
        <b val="0"/>
        <i val="0"/>
        <strike val="0"/>
        <condense val="0"/>
        <extend val="0"/>
        <outline val="0"/>
        <shadow val="0"/>
        <u val="none"/>
        <vertAlign val="baseline"/>
        <sz val="20"/>
        <color theme="1"/>
        <name val="Aptos Narrow"/>
        <family val="2"/>
        <scheme val="minor"/>
      </font>
      <numFmt numFmtId="1" formatCode="0"/>
    </dxf>
    <dxf>
      <font>
        <b val="0"/>
        <i val="0"/>
        <strike val="0"/>
        <condense val="0"/>
        <extend val="0"/>
        <outline val="0"/>
        <shadow val="0"/>
        <u val="none"/>
        <vertAlign val="baseline"/>
        <sz val="20"/>
        <color theme="1"/>
        <name val="Aptos Narrow"/>
        <family val="2"/>
        <scheme val="minor"/>
      </font>
      <numFmt numFmtId="2" formatCode="0.00"/>
    </dxf>
    <dxf>
      <font>
        <b val="0"/>
        <i val="0"/>
        <strike val="0"/>
        <condense val="0"/>
        <extend val="0"/>
        <outline val="0"/>
        <shadow val="0"/>
        <u val="none"/>
        <vertAlign val="baseline"/>
        <sz val="20"/>
        <color theme="1"/>
        <name val="Aptos Narrow"/>
        <family val="2"/>
        <scheme val="minor"/>
      </font>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20"/>
        <color theme="1"/>
        <name val="Aptos Narrow"/>
        <scheme val="minor"/>
      </font>
    </dxf>
    <dxf>
      <font>
        <b val="0"/>
        <i val="0"/>
        <strike val="0"/>
        <condense val="0"/>
        <extend val="0"/>
        <outline val="0"/>
        <shadow val="0"/>
        <u val="none"/>
        <vertAlign val="baseline"/>
        <sz val="20"/>
        <color theme="1"/>
        <name val="Aptos Narrow"/>
        <family val="2"/>
        <scheme val="minor"/>
      </font>
    </dxf>
    <dxf>
      <font>
        <b val="0"/>
        <i val="0"/>
        <strike val="0"/>
        <condense val="0"/>
        <extend val="0"/>
        <outline val="0"/>
        <shadow val="0"/>
        <u val="none"/>
        <vertAlign val="baseline"/>
        <sz val="14"/>
        <color theme="1"/>
        <name val="Aptos Narrow"/>
        <family val="2"/>
        <scheme val="minor"/>
      </font>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[Hospital_bed_analysis_excel.xlsx]Delta Capacity!PivotTable4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Delta Capacity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22564116345524E-2"/>
          <c:y val="0.11462242562929062"/>
          <c:w val="0.89227038599697217"/>
          <c:h val="0.68534874502243281"/>
        </c:manualLayout>
      </c:layout>
      <c:barChart>
        <c:barDir val="col"/>
        <c:grouping val="clustered"/>
        <c:varyColors val="0"/>
        <c:ser>
          <c:idx val="0"/>
          <c:order val="0"/>
          <c:tx>
            <c:strRef>
              <c:f>'Delta Capacity'!$B$3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'Delta Capacity'!$A$4:$A$29</c:f>
              <c:strCache>
                <c:ptCount val="25"/>
                <c:pt idx="0">
                  <c:v>General Surgery</c:v>
                </c:pt>
                <c:pt idx="1">
                  <c:v>Long-Term Care</c:v>
                </c:pt>
                <c:pt idx="2">
                  <c:v>Pediatrics General</c:v>
                </c:pt>
                <c:pt idx="3">
                  <c:v>Internal Medicine</c:v>
                </c:pt>
                <c:pt idx="4">
                  <c:v>Emergency Department (ED)</c:v>
                </c:pt>
                <c:pt idx="5">
                  <c:v>Orthopedic Surgery</c:v>
                </c:pt>
                <c:pt idx="6">
                  <c:v>Rehabilitation Unit</c:v>
                </c:pt>
                <c:pt idx="7">
                  <c:v> Psychiatry</c:v>
                </c:pt>
                <c:pt idx="8">
                  <c:v>Trauma Center</c:v>
                </c:pt>
                <c:pt idx="9">
                  <c:v>Cardiac Surgery</c:v>
                </c:pt>
                <c:pt idx="10">
                  <c:v>Transplant Unit</c:v>
                </c:pt>
                <c:pt idx="11">
                  <c:v> Obstetrics &amp; Gynecology (O&amp;G)</c:v>
                </c:pt>
                <c:pt idx="12">
                  <c:v>Burn Unit</c:v>
                </c:pt>
                <c:pt idx="13">
                  <c:v>Neurosurgery</c:v>
                </c:pt>
                <c:pt idx="14">
                  <c:v>Oncology</c:v>
                </c:pt>
                <c:pt idx="15">
                  <c:v>Endocrinology</c:v>
                </c:pt>
                <c:pt idx="16">
                  <c:v> Nephrology</c:v>
                </c:pt>
                <c:pt idx="17">
                  <c:v>Cardiology</c:v>
                </c:pt>
                <c:pt idx="18">
                  <c:v>Neurology</c:v>
                </c:pt>
                <c:pt idx="19">
                  <c:v>Palliative Care</c:v>
                </c:pt>
                <c:pt idx="20">
                  <c:v> Pediatric ICU (PICU)</c:v>
                </c:pt>
                <c:pt idx="21">
                  <c:v>Gastroenterology</c:v>
                </c:pt>
                <c:pt idx="22">
                  <c:v>Pulmonology</c:v>
                </c:pt>
                <c:pt idx="23">
                  <c:v>Infectious Diseases</c:v>
                </c:pt>
                <c:pt idx="24">
                  <c:v>Neonatal ICU (NICU)</c:v>
                </c:pt>
              </c:strCache>
            </c:strRef>
          </c:cat>
          <c:val>
            <c:numRef>
              <c:f>'Delta Capacity'!$B$4:$B$29</c:f>
              <c:numCache>
                <c:formatCode>0</c:formatCode>
                <c:ptCount val="25"/>
                <c:pt idx="0">
                  <c:v>20</c:v>
                </c:pt>
                <c:pt idx="1">
                  <c:v>20</c:v>
                </c:pt>
                <c:pt idx="2">
                  <c:v>40</c:v>
                </c:pt>
                <c:pt idx="3">
                  <c:v>45</c:v>
                </c:pt>
                <c:pt idx="4">
                  <c:v>60</c:v>
                </c:pt>
                <c:pt idx="5">
                  <c:v>60</c:v>
                </c:pt>
                <c:pt idx="6">
                  <c:v>60</c:v>
                </c:pt>
                <c:pt idx="7">
                  <c:v>60</c:v>
                </c:pt>
                <c:pt idx="8">
                  <c:v>75</c:v>
                </c:pt>
                <c:pt idx="9">
                  <c:v>85</c:v>
                </c:pt>
                <c:pt idx="10">
                  <c:v>90</c:v>
                </c:pt>
                <c:pt idx="11">
                  <c:v>95</c:v>
                </c:pt>
                <c:pt idx="12">
                  <c:v>100</c:v>
                </c:pt>
                <c:pt idx="13">
                  <c:v>102</c:v>
                </c:pt>
                <c:pt idx="14">
                  <c:v>102</c:v>
                </c:pt>
                <c:pt idx="15">
                  <c:v>104</c:v>
                </c:pt>
                <c:pt idx="16">
                  <c:v>105</c:v>
                </c:pt>
                <c:pt idx="17">
                  <c:v>108</c:v>
                </c:pt>
                <c:pt idx="18">
                  <c:v>110</c:v>
                </c:pt>
                <c:pt idx="19">
                  <c:v>110</c:v>
                </c:pt>
                <c:pt idx="20">
                  <c:v>115</c:v>
                </c:pt>
                <c:pt idx="21">
                  <c:v>115</c:v>
                </c:pt>
                <c:pt idx="22">
                  <c:v>115</c:v>
                </c:pt>
                <c:pt idx="23">
                  <c:v>118</c:v>
                </c:pt>
                <c:pt idx="24">
                  <c:v>120</c:v>
                </c:pt>
              </c:numCache>
            </c:numRef>
          </c:val>
          <c:extLst>
            <c:ext xmlns:c16="http://schemas.microsoft.com/office/drawing/2014/chart" uri="{C3380CC4-5D6E-409C-BE32-E72D297353CC}">
              <c16:uniqueId val="{00000046-6365-3645-BCD0-2A059C5695A8}"/>
            </c:ext>
          </c:extLst>
        </c:ser>
        <c:dLbls>
          <c:dLblPos val="inEnd"/>
          <c:showLegendKey val="0"/>
          <c:showVal val="1"/>
          <c:showCatName val="0"/>
          <c:showSerName val="0"/>
          <c:showPercent val="0"/>
          <c:showBubbleSize val="0"/>
        </c:dLbls>
        <c:gapWidth val="65"/>
        <c:axId val="1547949311"/>
        <c:axId val="1547944831"/>
      </c:barChart>
      <c:catAx>
        <c:axId val="15479493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Department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7944831"/>
        <c:crosses val="autoZero"/>
        <c:auto val="1"/>
        <c:lblAlgn val="ctr"/>
        <c:lblOffset val="100"/>
        <c:noMultiLvlLbl val="0"/>
      </c:catAx>
      <c:valAx>
        <c:axId val="15479448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Capacity Increase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54794931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[Hospital_bed_analysis_excel.xlsx]staffing efficiency change!PivotTable5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Staffing efficiency change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'staffing efficiency change'!$B$3</c:f>
              <c:strCache>
                <c:ptCount val="1"/>
                <c:pt idx="0">
                  <c:v>Sum of staff_to_bed_ratio_new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'staffing efficiency change'!$A$4:$A$29</c:f>
              <c:strCache>
                <c:ptCount val="25"/>
                <c:pt idx="0">
                  <c:v>Internal Medicine</c:v>
                </c:pt>
                <c:pt idx="1">
                  <c:v>General Surgery</c:v>
                </c:pt>
                <c:pt idx="2">
                  <c:v>Pulmonology</c:v>
                </c:pt>
                <c:pt idx="3">
                  <c:v>Long-Term Care</c:v>
                </c:pt>
                <c:pt idx="4">
                  <c:v>Trauma Center</c:v>
                </c:pt>
                <c:pt idx="5">
                  <c:v>Emergency Department (ED)</c:v>
                </c:pt>
                <c:pt idx="6">
                  <c:v>Cardiology</c:v>
                </c:pt>
                <c:pt idx="7">
                  <c:v>Cardiac Surgery</c:v>
                </c:pt>
                <c:pt idx="8">
                  <c:v>Neurology</c:v>
                </c:pt>
                <c:pt idx="9">
                  <c:v>Rehabilitation Unit</c:v>
                </c:pt>
                <c:pt idx="10">
                  <c:v>Orthopedic Surgery</c:v>
                </c:pt>
                <c:pt idx="11">
                  <c:v>Palliative Care</c:v>
                </c:pt>
                <c:pt idx="12">
                  <c:v> Psychiatry</c:v>
                </c:pt>
                <c:pt idx="13">
                  <c:v>Gastroenterology</c:v>
                </c:pt>
                <c:pt idx="14">
                  <c:v>Infectious Diseases</c:v>
                </c:pt>
                <c:pt idx="15">
                  <c:v>Neurosurgery</c:v>
                </c:pt>
                <c:pt idx="16">
                  <c:v>Pediatrics General</c:v>
                </c:pt>
                <c:pt idx="17">
                  <c:v> Obstetrics &amp; Gynecology (O&amp;G)</c:v>
                </c:pt>
                <c:pt idx="18">
                  <c:v> Nephrology</c:v>
                </c:pt>
                <c:pt idx="19">
                  <c:v>Oncology</c:v>
                </c:pt>
                <c:pt idx="20">
                  <c:v>Endocrinology</c:v>
                </c:pt>
                <c:pt idx="21">
                  <c:v>Burn Unit</c:v>
                </c:pt>
                <c:pt idx="22">
                  <c:v>Transplant Unit</c:v>
                </c:pt>
                <c:pt idx="23">
                  <c:v>Neonatal ICU (NICU)</c:v>
                </c:pt>
                <c:pt idx="24">
                  <c:v> Pediatric ICU (PICU)</c:v>
                </c:pt>
              </c:strCache>
            </c:strRef>
          </c:cat>
          <c:val>
            <c:numRef>
              <c:f>'staffing efficiency change'!$B$4:$B$29</c:f>
              <c:numCache>
                <c:formatCode>0.00</c:formatCode>
                <c:ptCount val="25"/>
                <c:pt idx="0">
                  <c:v>0.45</c:v>
                </c:pt>
                <c:pt idx="1">
                  <c:v>0.45454545454545453</c:v>
                </c:pt>
                <c:pt idx="2">
                  <c:v>0.45833333333333331</c:v>
                </c:pt>
                <c:pt idx="3">
                  <c:v>0.44230769230769229</c:v>
                </c:pt>
                <c:pt idx="4">
                  <c:v>0.45</c:v>
                </c:pt>
                <c:pt idx="5">
                  <c:v>0.45454545454545453</c:v>
                </c:pt>
                <c:pt idx="6">
                  <c:v>0.44230769230769229</c:v>
                </c:pt>
                <c:pt idx="7">
                  <c:v>0.45454545454545453</c:v>
                </c:pt>
                <c:pt idx="8">
                  <c:v>0.45833333333333331</c:v>
                </c:pt>
                <c:pt idx="9">
                  <c:v>0.45454545454545453</c:v>
                </c:pt>
                <c:pt idx="10">
                  <c:v>0.45454545454545453</c:v>
                </c:pt>
                <c:pt idx="11">
                  <c:v>0.45</c:v>
                </c:pt>
                <c:pt idx="12">
                  <c:v>0.44230769230769229</c:v>
                </c:pt>
                <c:pt idx="13">
                  <c:v>0.45454545454545453</c:v>
                </c:pt>
                <c:pt idx="14">
                  <c:v>0.45454545454545453</c:v>
                </c:pt>
                <c:pt idx="15">
                  <c:v>0.45454545454545453</c:v>
                </c:pt>
                <c:pt idx="16">
                  <c:v>0.45454545454545453</c:v>
                </c:pt>
                <c:pt idx="17">
                  <c:v>0.44230769230769229</c:v>
                </c:pt>
                <c:pt idx="18">
                  <c:v>0.45</c:v>
                </c:pt>
                <c:pt idx="19">
                  <c:v>0.44230769230769229</c:v>
                </c:pt>
                <c:pt idx="20">
                  <c:v>0.44444444444444442</c:v>
                </c:pt>
                <c:pt idx="21">
                  <c:v>0.4375</c:v>
                </c:pt>
                <c:pt idx="22">
                  <c:v>0.4375</c:v>
                </c:pt>
                <c:pt idx="23">
                  <c:v>0.44444444444444442</c:v>
                </c:pt>
                <c:pt idx="24">
                  <c:v>0.4375</c:v>
                </c:pt>
              </c:numCache>
            </c:numRef>
          </c:val>
          <c:extLst>
            <c:ext xmlns:c16="http://schemas.microsoft.com/office/drawing/2014/chart" uri="{C3380CC4-5D6E-409C-BE32-E72D297353CC}">
              <c16:uniqueId val="{00000000-6911-8143-8407-9F0850CD6780}"/>
            </c:ext>
          </c:extLst>
        </c:ser>
        <c:ser>
          <c:idx val="1"/>
          <c:order val="1"/>
          <c:tx>
            <c:strRef>
              <c:f>'staffing efficiency change'!$C$3</c:f>
              <c:strCache>
                <c:ptCount val="1"/>
                <c:pt idx="0">
                  <c:v>Sum of staff_to_bed_ratio_old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'staffing efficiency change'!$A$4:$A$29</c:f>
              <c:strCache>
                <c:ptCount val="25"/>
                <c:pt idx="0">
                  <c:v>Internal Medicine</c:v>
                </c:pt>
                <c:pt idx="1">
                  <c:v>General Surgery</c:v>
                </c:pt>
                <c:pt idx="2">
                  <c:v>Pulmonology</c:v>
                </c:pt>
                <c:pt idx="3">
                  <c:v>Long-Term Care</c:v>
                </c:pt>
                <c:pt idx="4">
                  <c:v>Trauma Center</c:v>
                </c:pt>
                <c:pt idx="5">
                  <c:v>Emergency Department (ED)</c:v>
                </c:pt>
                <c:pt idx="6">
                  <c:v>Cardiology</c:v>
                </c:pt>
                <c:pt idx="7">
                  <c:v>Cardiac Surgery</c:v>
                </c:pt>
                <c:pt idx="8">
                  <c:v>Neurology</c:v>
                </c:pt>
                <c:pt idx="9">
                  <c:v>Rehabilitation Unit</c:v>
                </c:pt>
                <c:pt idx="10">
                  <c:v>Orthopedic Surgery</c:v>
                </c:pt>
                <c:pt idx="11">
                  <c:v>Palliative Care</c:v>
                </c:pt>
                <c:pt idx="12">
                  <c:v> Psychiatry</c:v>
                </c:pt>
                <c:pt idx="13">
                  <c:v>Gastroenterology</c:v>
                </c:pt>
                <c:pt idx="14">
                  <c:v>Infectious Diseases</c:v>
                </c:pt>
                <c:pt idx="15">
                  <c:v>Neurosurgery</c:v>
                </c:pt>
                <c:pt idx="16">
                  <c:v>Pediatrics General</c:v>
                </c:pt>
                <c:pt idx="17">
                  <c:v> Obstetrics &amp; Gynecology (O&amp;G)</c:v>
                </c:pt>
                <c:pt idx="18">
                  <c:v> Nephrology</c:v>
                </c:pt>
                <c:pt idx="19">
                  <c:v>Oncology</c:v>
                </c:pt>
                <c:pt idx="20">
                  <c:v>Endocrinology</c:v>
                </c:pt>
                <c:pt idx="21">
                  <c:v>Burn Unit</c:v>
                </c:pt>
                <c:pt idx="22">
                  <c:v>Transplant Unit</c:v>
                </c:pt>
                <c:pt idx="23">
                  <c:v>Neonatal ICU (NICU)</c:v>
                </c:pt>
                <c:pt idx="24">
                  <c:v> Pediatric ICU (PICU)</c:v>
                </c:pt>
              </c:strCache>
            </c:strRef>
          </c:cat>
          <c:val>
            <c:numRef>
              <c:f>'staffing efficiency change'!$C$4:$C$29</c:f>
              <c:numCache>
                <c:formatCode>0.00</c:formatCode>
                <c:ptCount val="25"/>
                <c:pt idx="0">
                  <c:v>0.58823529411764708</c:v>
                </c:pt>
                <c:pt idx="1">
                  <c:v>0.65</c:v>
                </c:pt>
                <c:pt idx="2">
                  <c:v>0.65600000000000003</c:v>
                </c:pt>
                <c:pt idx="3">
                  <c:v>0.66666666666666663</c:v>
                </c:pt>
                <c:pt idx="4">
                  <c:v>0.68</c:v>
                </c:pt>
                <c:pt idx="5">
                  <c:v>0.6875</c:v>
                </c:pt>
                <c:pt idx="6">
                  <c:v>0.69078947368421051</c:v>
                </c:pt>
                <c:pt idx="7">
                  <c:v>0.70370370370370372</c:v>
                </c:pt>
                <c:pt idx="8">
                  <c:v>0.70769230769230773</c:v>
                </c:pt>
                <c:pt idx="9">
                  <c:v>0.71875</c:v>
                </c:pt>
                <c:pt idx="10">
                  <c:v>0.71875</c:v>
                </c:pt>
                <c:pt idx="11">
                  <c:v>0.72222222222222221</c:v>
                </c:pt>
                <c:pt idx="12">
                  <c:v>0.72499999999999998</c:v>
                </c:pt>
                <c:pt idx="13">
                  <c:v>0.74285714285714288</c:v>
                </c:pt>
                <c:pt idx="14">
                  <c:v>0.74509803921568629</c:v>
                </c:pt>
                <c:pt idx="15">
                  <c:v>0.74576271186440679</c:v>
                </c:pt>
                <c:pt idx="16">
                  <c:v>0.75</c:v>
                </c:pt>
                <c:pt idx="17">
                  <c:v>0.75757575757575757</c:v>
                </c:pt>
                <c:pt idx="18">
                  <c:v>0.75789473684210529</c:v>
                </c:pt>
                <c:pt idx="19">
                  <c:v>0.759493670886076</c:v>
                </c:pt>
                <c:pt idx="20">
                  <c:v>0.76315789473684215</c:v>
                </c:pt>
                <c:pt idx="21">
                  <c:v>0.83333333333333337</c:v>
                </c:pt>
                <c:pt idx="22">
                  <c:v>0.8571428571428571</c:v>
                </c:pt>
                <c:pt idx="23">
                  <c:v>1.1666666666666667</c:v>
                </c:pt>
                <c:pt idx="24">
                  <c:v>1.3333333333333333</c:v>
                </c:pt>
              </c:numCache>
            </c:numRef>
          </c:val>
          <c:extLst>
            <c:ext xmlns:c16="http://schemas.microsoft.com/office/drawing/2014/chart" uri="{C3380CC4-5D6E-409C-BE32-E72D297353CC}">
              <c16:uniqueId val="{00000001-6911-8143-8407-9F0850CD6780}"/>
            </c:ext>
          </c:extLst>
        </c:ser>
        <c:dLbls>
          <c:dLblPos val="outEnd"/>
          <c:showLegendKey val="0"/>
          <c:showVal val="1"/>
          <c:showCatName val="0"/>
          <c:showSerName val="0"/>
          <c:showPercent val="0"/>
          <c:showBubbleSize val="0"/>
        </c:dLbls>
        <c:gapWidth val="115"/>
        <c:overlap val="-20"/>
        <c:axId val="1573992447"/>
        <c:axId val="1550033215"/>
      </c:barChart>
      <c:catAx>
        <c:axId val="1573992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0033215"/>
        <c:crosses val="autoZero"/>
        <c:auto val="1"/>
        <c:lblAlgn val="ctr"/>
        <c:lblOffset val="100"/>
        <c:noMultiLvlLbl val="0"/>
      </c:catAx>
      <c:valAx>
        <c:axId val="155003321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99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[Hospital_bed_analysis_excel.xlsx]ICU heatmap!PivotTable6</c:name>
    <c:fmtId val="0"/>
  </c:pivotSource>
  <c:chart>
    <c:autoTitleDeleted val="0"/>
    <c:pivotFmts>
      <c:pivotFmt>
        <c:idx val="0"/>
        <c:spPr>
          <a:ln w="31750" cap="rnd">
            <a:solidFill>
              <a:schemeClr val="accent3"/>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'ICU heatmap'!$B$3</c:f>
              <c:strCache>
                <c:ptCount val="1"/>
                <c:pt idx="0">
                  <c:v>Sum of ICU_bed_new</c:v>
                </c:pt>
              </c:strCache>
            </c:strRef>
          </c:tx>
          <c:spPr>
            <a:ln w="31750" cap="rnd">
              <a:solidFill>
                <a:schemeClr val="accent3"/>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'ICU heatmap'!$A$4:$A$29</c:f>
              <c:strCache>
                <c:ptCount val="25"/>
                <c:pt idx="0">
                  <c:v> Nephrology</c:v>
                </c:pt>
                <c:pt idx="1">
                  <c:v> Obstetrics &amp; Gynecology (O&amp;G)</c:v>
                </c:pt>
                <c:pt idx="2">
                  <c:v> Pediatric ICU (PICU)</c:v>
                </c:pt>
                <c:pt idx="3">
                  <c:v> Psychiatry</c:v>
                </c:pt>
                <c:pt idx="4">
                  <c:v>Burn Unit</c:v>
                </c:pt>
                <c:pt idx="5">
                  <c:v>Cardiac Surgery</c:v>
                </c:pt>
                <c:pt idx="6">
                  <c:v>Cardiology</c:v>
                </c:pt>
                <c:pt idx="7">
                  <c:v>Emergency Department (ED)</c:v>
                </c:pt>
                <c:pt idx="8">
                  <c:v>Endocrinology</c:v>
                </c:pt>
                <c:pt idx="9">
                  <c:v>Gastroenterology</c:v>
                </c:pt>
                <c:pt idx="10">
                  <c:v>General Surgery</c:v>
                </c:pt>
                <c:pt idx="11">
                  <c:v>Infectious Diseases</c:v>
                </c:pt>
                <c:pt idx="12">
                  <c:v>Internal Medicine</c:v>
                </c:pt>
                <c:pt idx="13">
                  <c:v>Long-Term Care</c:v>
                </c:pt>
                <c:pt idx="14">
                  <c:v>Neonatal ICU (NICU)</c:v>
                </c:pt>
                <c:pt idx="15">
                  <c:v>Neurology</c:v>
                </c:pt>
                <c:pt idx="16">
                  <c:v>Neurosurgery</c:v>
                </c:pt>
                <c:pt idx="17">
                  <c:v>Oncology</c:v>
                </c:pt>
                <c:pt idx="18">
                  <c:v>Orthopedic Surgery</c:v>
                </c:pt>
                <c:pt idx="19">
                  <c:v>Palliative Care</c:v>
                </c:pt>
                <c:pt idx="20">
                  <c:v>Pediatrics General</c:v>
                </c:pt>
                <c:pt idx="21">
                  <c:v>Pulmonology</c:v>
                </c:pt>
                <c:pt idx="22">
                  <c:v>Rehabilitation Unit</c:v>
                </c:pt>
                <c:pt idx="23">
                  <c:v>Transplant Unit</c:v>
                </c:pt>
                <c:pt idx="24">
                  <c:v>Trauma Center</c:v>
                </c:pt>
              </c:strCache>
            </c:strRef>
          </c:cat>
          <c:val>
            <c:numRef>
              <c:f>'ICU heatmap'!$B$4:$B$29</c:f>
              <c:numCache>
                <c:formatCode>0</c:formatCode>
                <c:ptCount val="25"/>
                <c:pt idx="0">
                  <c:v>22</c:v>
                </c:pt>
                <c:pt idx="1">
                  <c:v>30</c:v>
                </c:pt>
                <c:pt idx="2">
                  <c:v>90</c:v>
                </c:pt>
                <c:pt idx="3">
                  <c:v>8</c:v>
                </c:pt>
                <c:pt idx="4">
                  <c:v>75</c:v>
                </c:pt>
                <c:pt idx="5">
                  <c:v>60</c:v>
                </c:pt>
                <c:pt idx="6">
                  <c:v>60</c:v>
                </c:pt>
                <c:pt idx="7">
                  <c:v>45</c:v>
                </c:pt>
                <c:pt idx="8">
                  <c:v>15</c:v>
                </c:pt>
                <c:pt idx="9">
                  <c:v>22</c:v>
                </c:pt>
                <c:pt idx="10">
                  <c:v>45</c:v>
                </c:pt>
                <c:pt idx="11">
                  <c:v>45</c:v>
                </c:pt>
                <c:pt idx="12">
                  <c:v>45</c:v>
                </c:pt>
                <c:pt idx="13">
                  <c:v>15</c:v>
                </c:pt>
                <c:pt idx="14">
                  <c:v>105</c:v>
                </c:pt>
                <c:pt idx="15">
                  <c:v>45</c:v>
                </c:pt>
                <c:pt idx="16">
                  <c:v>52</c:v>
                </c:pt>
                <c:pt idx="17">
                  <c:v>38</c:v>
                </c:pt>
                <c:pt idx="18">
                  <c:v>30</c:v>
                </c:pt>
                <c:pt idx="19">
                  <c:v>15</c:v>
                </c:pt>
                <c:pt idx="20">
                  <c:v>30</c:v>
                </c:pt>
                <c:pt idx="21">
                  <c:v>38</c:v>
                </c:pt>
                <c:pt idx="22">
                  <c:v>15</c:v>
                </c:pt>
                <c:pt idx="23">
                  <c:v>75</c:v>
                </c:pt>
                <c:pt idx="24">
                  <c:v>60</c:v>
                </c:pt>
              </c:numCache>
            </c:numRef>
          </c:val>
          <c:smooth val="0"/>
          <c:extLst>
            <c:ext xmlns:c16="http://schemas.microsoft.com/office/drawing/2014/chart" uri="{C3380CC4-5D6E-409C-BE32-E72D297353CC}">
              <c16:uniqueId val="{00000000-EAEB-214C-A395-0CF57C4589A5}"/>
            </c:ext>
          </c:extLst>
        </c:ser>
        <c:ser>
          <c:idx val="1"/>
          <c:order val="1"/>
          <c:tx>
            <c:strRef>
              <c:f>'ICU heatmap'!$C$3</c:f>
              <c:strCache>
                <c:ptCount val="1"/>
                <c:pt idx="0">
                  <c:v>Sum of ICU_beds_old</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'ICU heatmap'!$A$4:$A$29</c:f>
              <c:strCache>
                <c:ptCount val="25"/>
                <c:pt idx="0">
                  <c:v> Nephrology</c:v>
                </c:pt>
                <c:pt idx="1">
                  <c:v> Obstetrics &amp; Gynecology (O&amp;G)</c:v>
                </c:pt>
                <c:pt idx="2">
                  <c:v> Pediatric ICU (PICU)</c:v>
                </c:pt>
                <c:pt idx="3">
                  <c:v> Psychiatry</c:v>
                </c:pt>
                <c:pt idx="4">
                  <c:v>Burn Unit</c:v>
                </c:pt>
                <c:pt idx="5">
                  <c:v>Cardiac Surgery</c:v>
                </c:pt>
                <c:pt idx="6">
                  <c:v>Cardiology</c:v>
                </c:pt>
                <c:pt idx="7">
                  <c:v>Emergency Department (ED)</c:v>
                </c:pt>
                <c:pt idx="8">
                  <c:v>Endocrinology</c:v>
                </c:pt>
                <c:pt idx="9">
                  <c:v>Gastroenterology</c:v>
                </c:pt>
                <c:pt idx="10">
                  <c:v>General Surgery</c:v>
                </c:pt>
                <c:pt idx="11">
                  <c:v>Infectious Diseases</c:v>
                </c:pt>
                <c:pt idx="12">
                  <c:v>Internal Medicine</c:v>
                </c:pt>
                <c:pt idx="13">
                  <c:v>Long-Term Care</c:v>
                </c:pt>
                <c:pt idx="14">
                  <c:v>Neonatal ICU (NICU)</c:v>
                </c:pt>
                <c:pt idx="15">
                  <c:v>Neurology</c:v>
                </c:pt>
                <c:pt idx="16">
                  <c:v>Neurosurgery</c:v>
                </c:pt>
                <c:pt idx="17">
                  <c:v>Oncology</c:v>
                </c:pt>
                <c:pt idx="18">
                  <c:v>Orthopedic Surgery</c:v>
                </c:pt>
                <c:pt idx="19">
                  <c:v>Palliative Care</c:v>
                </c:pt>
                <c:pt idx="20">
                  <c:v>Pediatrics General</c:v>
                </c:pt>
                <c:pt idx="21">
                  <c:v>Pulmonology</c:v>
                </c:pt>
                <c:pt idx="22">
                  <c:v>Rehabilitation Unit</c:v>
                </c:pt>
                <c:pt idx="23">
                  <c:v>Transplant Unit</c:v>
                </c:pt>
                <c:pt idx="24">
                  <c:v>Trauma Center</c:v>
                </c:pt>
              </c:strCache>
            </c:strRef>
          </c:cat>
          <c:val>
            <c:numRef>
              <c:f>'ICU heatmap'!$C$4:$C$29</c:f>
              <c:numCache>
                <c:formatCode>0</c:formatCode>
                <c:ptCount val="25"/>
                <c:pt idx="0">
                  <c:v>10</c:v>
                </c:pt>
                <c:pt idx="1">
                  <c:v>5</c:v>
                </c:pt>
                <c:pt idx="2">
                  <c:v>45</c:v>
                </c:pt>
                <c:pt idx="3">
                  <c:v>0</c:v>
                </c:pt>
                <c:pt idx="4">
                  <c:v>20</c:v>
                </c:pt>
                <c:pt idx="5">
                  <c:v>25</c:v>
                </c:pt>
                <c:pt idx="6">
                  <c:v>22</c:v>
                </c:pt>
                <c:pt idx="7">
                  <c:v>20</c:v>
                </c:pt>
                <c:pt idx="8">
                  <c:v>6</c:v>
                </c:pt>
                <c:pt idx="9">
                  <c:v>10</c:v>
                </c:pt>
                <c:pt idx="10">
                  <c:v>20</c:v>
                </c:pt>
                <c:pt idx="11">
                  <c:v>12</c:v>
                </c:pt>
                <c:pt idx="12">
                  <c:v>15</c:v>
                </c:pt>
                <c:pt idx="13">
                  <c:v>0</c:v>
                </c:pt>
                <c:pt idx="14">
                  <c:v>60</c:v>
                </c:pt>
                <c:pt idx="15">
                  <c:v>20</c:v>
                </c:pt>
                <c:pt idx="16">
                  <c:v>18</c:v>
                </c:pt>
                <c:pt idx="17">
                  <c:v>18</c:v>
                </c:pt>
                <c:pt idx="18">
                  <c:v>10</c:v>
                </c:pt>
                <c:pt idx="19">
                  <c:v>0</c:v>
                </c:pt>
                <c:pt idx="20">
                  <c:v>10</c:v>
                </c:pt>
                <c:pt idx="21">
                  <c:v>15</c:v>
                </c:pt>
                <c:pt idx="22">
                  <c:v>0</c:v>
                </c:pt>
                <c:pt idx="23">
                  <c:v>20</c:v>
                </c:pt>
                <c:pt idx="24">
                  <c:v>25</c:v>
                </c:pt>
              </c:numCache>
            </c:numRef>
          </c:val>
          <c:smooth val="0"/>
          <c:extLst>
            <c:ext xmlns:c16="http://schemas.microsoft.com/office/drawing/2014/chart" uri="{C3380CC4-5D6E-409C-BE32-E72D297353CC}">
              <c16:uniqueId val="{00000033-EAEB-214C-A395-0CF57C4589A5}"/>
            </c:ext>
          </c:extLst>
        </c:ser>
        <c:dLbls>
          <c:dLblPos val="ctr"/>
          <c:showLegendKey val="0"/>
          <c:showVal val="1"/>
          <c:showCatName val="0"/>
          <c:showSerName val="0"/>
          <c:showPercent val="0"/>
          <c:showBubbleSize val="0"/>
        </c:dLbls>
        <c:marker val="1"/>
        <c:smooth val="0"/>
        <c:axId val="1549545279"/>
        <c:axId val="1549538111"/>
      </c:lineChart>
      <c:catAx>
        <c:axId val="1549545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9538111"/>
        <c:crosses val="autoZero"/>
        <c:auto val="1"/>
        <c:lblAlgn val="ctr"/>
        <c:lblOffset val="100"/>
        <c:noMultiLvlLbl val="0"/>
      </c:catAx>
      <c:valAx>
        <c:axId val="15495381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49545279"/>
        <c:crosses val="autoZero"/>
        <c:crossBetween val="between"/>
      </c:valAx>
      <c:spPr>
        <a:noFill/>
        <a:ln>
          <a:noFill/>
        </a:ln>
        <a:effectLst/>
      </c:spPr>
    </c:plotArea>
    <c:legend>
      <c:legendPos val="r"/>
      <c:overlay val="0"/>
      <c:spPr>
        <a:solidFill>
          <a:schemeClr val="accent4">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[Hospital_bed_analysis_excel.xlsx]Departmental occupancy!PivotTable7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Departmental Occupancy Rates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'Departmental occupancy'!$B$3</c:f>
              <c:strCache>
                <c:ptCount val="1"/>
                <c:pt idx="0">
                  <c:v>Sum of occupancy_rate_new</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6"/>
                </a:solidFill>
              </a:ln>
              <a:effectLst/>
            </c:spPr>
            <c:trendlineType val="linear"/>
            <c:forward val="2"/>
            <c:dispRSqr val="0"/>
            <c:dispEq val="0"/>
          </c:trendline>
          <c:cat>
            <c:strRef>
              <c:f>'Departmental occupancy'!$A$4:$A$29</c:f>
              <c:strCache>
                <c:ptCount val="25"/>
                <c:pt idx="0">
                  <c:v>Palliative Care</c:v>
                </c:pt>
                <c:pt idx="1">
                  <c:v>Rehabilitation Unit</c:v>
                </c:pt>
                <c:pt idx="2">
                  <c:v>Long-Term Care</c:v>
                </c:pt>
                <c:pt idx="3">
                  <c:v> Psychiatry</c:v>
                </c:pt>
                <c:pt idx="4">
                  <c:v>Cardiac Surgery</c:v>
                </c:pt>
                <c:pt idx="5">
                  <c:v>Internal Medicine</c:v>
                </c:pt>
                <c:pt idx="6">
                  <c:v>General Surgery</c:v>
                </c:pt>
                <c:pt idx="7">
                  <c:v>Cardiology</c:v>
                </c:pt>
                <c:pt idx="8">
                  <c:v>Gastroenterology</c:v>
                </c:pt>
                <c:pt idx="9">
                  <c:v>Pediatrics General</c:v>
                </c:pt>
                <c:pt idx="10">
                  <c:v> Obstetrics &amp; Gynecology (O&amp;G)</c:v>
                </c:pt>
                <c:pt idx="11">
                  <c:v>Orthopedic Surgery</c:v>
                </c:pt>
                <c:pt idx="12">
                  <c:v>Infectious Diseases</c:v>
                </c:pt>
                <c:pt idx="13">
                  <c:v>Transplant Unit</c:v>
                </c:pt>
                <c:pt idx="14">
                  <c:v>Neurology</c:v>
                </c:pt>
                <c:pt idx="15">
                  <c:v>Pulmonology</c:v>
                </c:pt>
                <c:pt idx="16">
                  <c:v>Oncology</c:v>
                </c:pt>
                <c:pt idx="17">
                  <c:v>Neurosurgery</c:v>
                </c:pt>
                <c:pt idx="18">
                  <c:v>Endocrinology</c:v>
                </c:pt>
                <c:pt idx="19">
                  <c:v> Nephrology</c:v>
                </c:pt>
                <c:pt idx="20">
                  <c:v>Burn Unit</c:v>
                </c:pt>
                <c:pt idx="21">
                  <c:v>Emergency Department (ED)</c:v>
                </c:pt>
                <c:pt idx="22">
                  <c:v>Trauma Center</c:v>
                </c:pt>
                <c:pt idx="23">
                  <c:v>Neonatal ICU (NICU)</c:v>
                </c:pt>
                <c:pt idx="24">
                  <c:v> Pediatric ICU (PICU)</c:v>
                </c:pt>
              </c:strCache>
            </c:strRef>
          </c:cat>
          <c:val>
            <c:numRef>
              <c:f>'Departmental occupancy'!$B$4:$B$29</c:f>
              <c:numCache>
                <c:formatCode>0.00%</c:formatCode>
                <c:ptCount val="25"/>
                <c:pt idx="0">
                  <c:v>0.57999999999999996</c:v>
                </c:pt>
                <c:pt idx="1">
                  <c:v>0.6</c:v>
                </c:pt>
                <c:pt idx="2">
                  <c:v>0.7846153846153846</c:v>
                </c:pt>
                <c:pt idx="3">
                  <c:v>0.55000000000000004</c:v>
                </c:pt>
                <c:pt idx="4">
                  <c:v>0.61818181818181817</c:v>
                </c:pt>
                <c:pt idx="5">
                  <c:v>0.74</c:v>
                </c:pt>
                <c:pt idx="6">
                  <c:v>0.55000000000000004</c:v>
                </c:pt>
                <c:pt idx="7">
                  <c:v>0.43461538461538463</c:v>
                </c:pt>
                <c:pt idx="8">
                  <c:v>0.58181818181818179</c:v>
                </c:pt>
                <c:pt idx="9">
                  <c:v>0.45454545454545453</c:v>
                </c:pt>
                <c:pt idx="10">
                  <c:v>0.62307692307692308</c:v>
                </c:pt>
                <c:pt idx="11">
                  <c:v>0.65454545454545454</c:v>
                </c:pt>
                <c:pt idx="12">
                  <c:v>0.6</c:v>
                </c:pt>
                <c:pt idx="13">
                  <c:v>0.65</c:v>
                </c:pt>
                <c:pt idx="14">
                  <c:v>0.62083333333333335</c:v>
                </c:pt>
                <c:pt idx="15">
                  <c:v>0.65</c:v>
                </c:pt>
                <c:pt idx="16">
                  <c:v>0.43461538461538463</c:v>
                </c:pt>
                <c:pt idx="17">
                  <c:v>0.57727272727272727</c:v>
                </c:pt>
                <c:pt idx="18">
                  <c:v>0.58333333333333337</c:v>
                </c:pt>
                <c:pt idx="19">
                  <c:v>0.62</c:v>
                </c:pt>
                <c:pt idx="20">
                  <c:v>0.57499999999999996</c:v>
                </c:pt>
                <c:pt idx="21">
                  <c:v>0.47727272727272729</c:v>
                </c:pt>
                <c:pt idx="22">
                  <c:v>0.73</c:v>
                </c:pt>
                <c:pt idx="23">
                  <c:v>0.55000000000000004</c:v>
                </c:pt>
                <c:pt idx="24">
                  <c:v>0.6</c:v>
                </c:pt>
              </c:numCache>
            </c:numRef>
          </c:val>
          <c:extLst>
            <c:ext xmlns:c16="http://schemas.microsoft.com/office/drawing/2014/chart" uri="{C3380CC4-5D6E-409C-BE32-E72D297353CC}">
              <c16:uniqueId val="{00000000-D234-A341-B2B6-9DF4A9548F8B}"/>
            </c:ext>
          </c:extLst>
        </c:ser>
        <c:ser>
          <c:idx val="1"/>
          <c:order val="1"/>
          <c:tx>
            <c:strRef>
              <c:f>'Departmental occupancy'!$C$3</c:f>
              <c:strCache>
                <c:ptCount val="1"/>
                <c:pt idx="0">
                  <c:v>Sum of occupancy_rate_old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5"/>
                </a:solidFill>
              </a:ln>
              <a:effectLst/>
            </c:spPr>
            <c:trendlineType val="linear"/>
            <c:forward val="2"/>
            <c:dispRSqr val="0"/>
            <c:dispEq val="0"/>
          </c:trendline>
          <c:cat>
            <c:strRef>
              <c:f>'Departmental occupancy'!$A$4:$A$29</c:f>
              <c:strCache>
                <c:ptCount val="25"/>
                <c:pt idx="0">
                  <c:v>Palliative Care</c:v>
                </c:pt>
                <c:pt idx="1">
                  <c:v>Rehabilitation Unit</c:v>
                </c:pt>
                <c:pt idx="2">
                  <c:v>Long-Term Care</c:v>
                </c:pt>
                <c:pt idx="3">
                  <c:v> Psychiatry</c:v>
                </c:pt>
                <c:pt idx="4">
                  <c:v>Cardiac Surgery</c:v>
                </c:pt>
                <c:pt idx="5">
                  <c:v>Internal Medicine</c:v>
                </c:pt>
                <c:pt idx="6">
                  <c:v>General Surgery</c:v>
                </c:pt>
                <c:pt idx="7">
                  <c:v>Cardiology</c:v>
                </c:pt>
                <c:pt idx="8">
                  <c:v>Gastroenterology</c:v>
                </c:pt>
                <c:pt idx="9">
                  <c:v>Pediatrics General</c:v>
                </c:pt>
                <c:pt idx="10">
                  <c:v> Obstetrics &amp; Gynecology (O&amp;G)</c:v>
                </c:pt>
                <c:pt idx="11">
                  <c:v>Orthopedic Surgery</c:v>
                </c:pt>
                <c:pt idx="12">
                  <c:v>Infectious Diseases</c:v>
                </c:pt>
                <c:pt idx="13">
                  <c:v>Transplant Unit</c:v>
                </c:pt>
                <c:pt idx="14">
                  <c:v>Neurology</c:v>
                </c:pt>
                <c:pt idx="15">
                  <c:v>Pulmonology</c:v>
                </c:pt>
                <c:pt idx="16">
                  <c:v>Oncology</c:v>
                </c:pt>
                <c:pt idx="17">
                  <c:v>Neurosurgery</c:v>
                </c:pt>
                <c:pt idx="18">
                  <c:v>Endocrinology</c:v>
                </c:pt>
                <c:pt idx="19">
                  <c:v> Nephrology</c:v>
                </c:pt>
                <c:pt idx="20">
                  <c:v>Burn Unit</c:v>
                </c:pt>
                <c:pt idx="21">
                  <c:v>Emergency Department (ED)</c:v>
                </c:pt>
                <c:pt idx="22">
                  <c:v>Trauma Center</c:v>
                </c:pt>
                <c:pt idx="23">
                  <c:v>Neonatal ICU (NICU)</c:v>
                </c:pt>
                <c:pt idx="24">
                  <c:v> Pediatric ICU (PICU)</c:v>
                </c:pt>
              </c:strCache>
            </c:strRef>
          </c:cat>
          <c:val>
            <c:numRef>
              <c:f>'Departmental occupancy'!$C$4:$C$29</c:f>
              <c:numCache>
                <c:formatCode>0.0%</c:formatCode>
                <c:ptCount val="25"/>
                <c:pt idx="0">
                  <c:v>0.66666666666666663</c:v>
                </c:pt>
                <c:pt idx="1">
                  <c:v>0.6875</c:v>
                </c:pt>
                <c:pt idx="2">
                  <c:v>0.70833333333333337</c:v>
                </c:pt>
                <c:pt idx="3">
                  <c:v>0.75</c:v>
                </c:pt>
                <c:pt idx="4">
                  <c:v>0.77777777777777779</c:v>
                </c:pt>
                <c:pt idx="5">
                  <c:v>0.79607843137254897</c:v>
                </c:pt>
                <c:pt idx="6">
                  <c:v>0.80500000000000005</c:v>
                </c:pt>
                <c:pt idx="7">
                  <c:v>0.80921052631578949</c:v>
                </c:pt>
                <c:pt idx="8">
                  <c:v>0.80952380952380953</c:v>
                </c:pt>
                <c:pt idx="9">
                  <c:v>0.81111111111111112</c:v>
                </c:pt>
                <c:pt idx="10">
                  <c:v>0.81212121212121213</c:v>
                </c:pt>
                <c:pt idx="11">
                  <c:v>0.8125</c:v>
                </c:pt>
                <c:pt idx="12">
                  <c:v>0.81372549019607843</c:v>
                </c:pt>
                <c:pt idx="13">
                  <c:v>0.81428571428571428</c:v>
                </c:pt>
                <c:pt idx="14">
                  <c:v>0.81538461538461537</c:v>
                </c:pt>
                <c:pt idx="15">
                  <c:v>0.81599999999999995</c:v>
                </c:pt>
                <c:pt idx="16">
                  <c:v>0.81645569620253167</c:v>
                </c:pt>
                <c:pt idx="17">
                  <c:v>0.82203389830508478</c:v>
                </c:pt>
                <c:pt idx="18">
                  <c:v>0.82894736842105265</c:v>
                </c:pt>
                <c:pt idx="19">
                  <c:v>0.83157894736842108</c:v>
                </c:pt>
                <c:pt idx="20">
                  <c:v>0.83333333333333337</c:v>
                </c:pt>
                <c:pt idx="21">
                  <c:v>0.83750000000000002</c:v>
                </c:pt>
                <c:pt idx="22">
                  <c:v>0.84</c:v>
                </c:pt>
                <c:pt idx="23">
                  <c:v>1.6666666666666667</c:v>
                </c:pt>
                <c:pt idx="24">
                  <c:v>1.6888888888888889</c:v>
                </c:pt>
              </c:numCache>
            </c:numRef>
          </c:val>
          <c:extLst>
            <c:ext xmlns:c16="http://schemas.microsoft.com/office/drawing/2014/chart" uri="{C3380CC4-5D6E-409C-BE32-E72D297353CC}">
              <c16:uniqueId val="{00000032-D234-A341-B2B6-9DF4A9548F8B}"/>
            </c:ext>
          </c:extLst>
        </c:ser>
        <c:dLbls>
          <c:showLegendKey val="0"/>
          <c:showVal val="0"/>
          <c:showCatName val="0"/>
          <c:showSerName val="0"/>
          <c:showPercent val="0"/>
          <c:showBubbleSize val="0"/>
        </c:dLbls>
        <c:gapWidth val="100"/>
        <c:overlap val="-24"/>
        <c:axId val="1626350335"/>
        <c:axId val="1573495999"/>
      </c:barChart>
      <c:catAx>
        <c:axId val="1626350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495999"/>
        <c:crosses val="autoZero"/>
        <c:auto val="1"/>
        <c:lblAlgn val="ctr"/>
        <c:lblOffset val="100"/>
        <c:noMultiLvlLbl val="0"/>
      </c:catAx>
      <c:valAx>
        <c:axId val="1573495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35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[Hospital_bed_analysis_excel.xlsx]Staff Workload!PivotTable8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Staff to patient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45555645750469E-2"/>
          <c:y val="2.1526418786692758E-2"/>
          <c:w val="0.8517570419676922"/>
          <c:h val="0.75554956315392086"/>
        </c:manualLayout>
      </c:layout>
      <c:lineChart>
        <c:grouping val="standard"/>
        <c:varyColors val="0"/>
        <c:ser>
          <c:idx val="0"/>
          <c:order val="0"/>
          <c:tx>
            <c:strRef>
              <c:f>'Staff Workload'!$B$3</c:f>
              <c:strCache>
                <c:ptCount val="1"/>
                <c:pt idx="0">
                  <c:v>Sum of staff_to_patient_ratio_old</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'Staff Workload'!$A$4:$A$29</c:f>
              <c:strCache>
                <c:ptCount val="25"/>
                <c:pt idx="0">
                  <c:v> Nephrology</c:v>
                </c:pt>
                <c:pt idx="1">
                  <c:v> Obstetrics &amp; Gynecology (O&amp;G)</c:v>
                </c:pt>
                <c:pt idx="2">
                  <c:v> Pediatric ICU (PICU)</c:v>
                </c:pt>
                <c:pt idx="3">
                  <c:v> Psychiatry</c:v>
                </c:pt>
                <c:pt idx="4">
                  <c:v>Burn Unit</c:v>
                </c:pt>
                <c:pt idx="5">
                  <c:v>Cardiac Surgery</c:v>
                </c:pt>
                <c:pt idx="6">
                  <c:v>Cardiology</c:v>
                </c:pt>
                <c:pt idx="7">
                  <c:v>Emergency Department (ED)</c:v>
                </c:pt>
                <c:pt idx="8">
                  <c:v>Endocrinology</c:v>
                </c:pt>
                <c:pt idx="9">
                  <c:v>Gastroenterology</c:v>
                </c:pt>
                <c:pt idx="10">
                  <c:v>General Surgery</c:v>
                </c:pt>
                <c:pt idx="11">
                  <c:v>Infectious Diseases</c:v>
                </c:pt>
                <c:pt idx="12">
                  <c:v>Internal Medicine</c:v>
                </c:pt>
                <c:pt idx="13">
                  <c:v>Long-Term Care</c:v>
                </c:pt>
                <c:pt idx="14">
                  <c:v>Neonatal ICU (NICU)</c:v>
                </c:pt>
                <c:pt idx="15">
                  <c:v>Neurology</c:v>
                </c:pt>
                <c:pt idx="16">
                  <c:v>Neurosurgery</c:v>
                </c:pt>
                <c:pt idx="17">
                  <c:v>Oncology</c:v>
                </c:pt>
                <c:pt idx="18">
                  <c:v>Orthopedic Surgery</c:v>
                </c:pt>
                <c:pt idx="19">
                  <c:v>Palliative Care</c:v>
                </c:pt>
                <c:pt idx="20">
                  <c:v>Pediatrics General</c:v>
                </c:pt>
                <c:pt idx="21">
                  <c:v>Pulmonology</c:v>
                </c:pt>
                <c:pt idx="22">
                  <c:v>Rehabilitation Unit</c:v>
                </c:pt>
                <c:pt idx="23">
                  <c:v>Transplant Unit</c:v>
                </c:pt>
                <c:pt idx="24">
                  <c:v>Trauma Center</c:v>
                </c:pt>
              </c:strCache>
            </c:strRef>
          </c:cat>
          <c:val>
            <c:numRef>
              <c:f>'Staff Workload'!$B$4:$B$29</c:f>
              <c:numCache>
                <c:formatCode>0.00</c:formatCode>
                <c:ptCount val="25"/>
                <c:pt idx="0">
                  <c:v>0.91139240506329111</c:v>
                </c:pt>
                <c:pt idx="1">
                  <c:v>0.93283582089552242</c:v>
                </c:pt>
                <c:pt idx="2">
                  <c:v>0.78947368421052633</c:v>
                </c:pt>
                <c:pt idx="3">
                  <c:v>0.96666666666666667</c:v>
                </c:pt>
                <c:pt idx="4">
                  <c:v>1</c:v>
                </c:pt>
                <c:pt idx="5">
                  <c:v>0.90476190476190477</c:v>
                </c:pt>
                <c:pt idx="6">
                  <c:v>0.85365853658536583</c:v>
                </c:pt>
                <c:pt idx="7">
                  <c:v>0.82089552238805974</c:v>
                </c:pt>
                <c:pt idx="8">
                  <c:v>0.92063492063492058</c:v>
                </c:pt>
                <c:pt idx="9">
                  <c:v>0.91764705882352937</c:v>
                </c:pt>
                <c:pt idx="10">
                  <c:v>0.80745341614906829</c:v>
                </c:pt>
                <c:pt idx="11">
                  <c:v>0.91566265060240959</c:v>
                </c:pt>
                <c:pt idx="12">
                  <c:v>0.73891625615763545</c:v>
                </c:pt>
                <c:pt idx="13">
                  <c:v>0.94117647058823528</c:v>
                </c:pt>
                <c:pt idx="14">
                  <c:v>0.7</c:v>
                </c:pt>
                <c:pt idx="15">
                  <c:v>0.86792452830188682</c:v>
                </c:pt>
                <c:pt idx="16">
                  <c:v>0.90721649484536082</c:v>
                </c:pt>
                <c:pt idx="17">
                  <c:v>0.93023255813953487</c:v>
                </c:pt>
                <c:pt idx="18">
                  <c:v>0.88461538461538458</c:v>
                </c:pt>
                <c:pt idx="19">
                  <c:v>1.0833333333333333</c:v>
                </c:pt>
                <c:pt idx="20">
                  <c:v>0.92465753424657537</c:v>
                </c:pt>
                <c:pt idx="21">
                  <c:v>0.80392156862745101</c:v>
                </c:pt>
                <c:pt idx="22">
                  <c:v>1.0454545454545454</c:v>
                </c:pt>
                <c:pt idx="23">
                  <c:v>1.0526315789473684</c:v>
                </c:pt>
                <c:pt idx="24">
                  <c:v>0.80952380952380953</c:v>
                </c:pt>
              </c:numCache>
            </c:numRef>
          </c:val>
          <c:smooth val="0"/>
          <c:extLst>
            <c:ext xmlns:c16="http://schemas.microsoft.com/office/drawing/2014/chart" uri="{C3380CC4-5D6E-409C-BE32-E72D297353CC}">
              <c16:uniqueId val="{00000000-FD1C-264A-8653-59F213C83247}"/>
            </c:ext>
          </c:extLst>
        </c:ser>
        <c:ser>
          <c:idx val="1"/>
          <c:order val="1"/>
          <c:tx>
            <c:strRef>
              <c:f>'Staff Workload'!$C$3</c:f>
              <c:strCache>
                <c:ptCount val="1"/>
                <c:pt idx="0">
                  <c:v>Sum of staff_to_patient_ratio_new</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'Staff Workload'!$A$4:$A$29</c:f>
              <c:strCache>
                <c:ptCount val="25"/>
                <c:pt idx="0">
                  <c:v> Nephrology</c:v>
                </c:pt>
                <c:pt idx="1">
                  <c:v> Obstetrics &amp; Gynecology (O&amp;G)</c:v>
                </c:pt>
                <c:pt idx="2">
                  <c:v> Pediatric ICU (PICU)</c:v>
                </c:pt>
                <c:pt idx="3">
                  <c:v> Psychiatry</c:v>
                </c:pt>
                <c:pt idx="4">
                  <c:v>Burn Unit</c:v>
                </c:pt>
                <c:pt idx="5">
                  <c:v>Cardiac Surgery</c:v>
                </c:pt>
                <c:pt idx="6">
                  <c:v>Cardiology</c:v>
                </c:pt>
                <c:pt idx="7">
                  <c:v>Emergency Department (ED)</c:v>
                </c:pt>
                <c:pt idx="8">
                  <c:v>Endocrinology</c:v>
                </c:pt>
                <c:pt idx="9">
                  <c:v>Gastroenterology</c:v>
                </c:pt>
                <c:pt idx="10">
                  <c:v>General Surgery</c:v>
                </c:pt>
                <c:pt idx="11">
                  <c:v>Infectious Diseases</c:v>
                </c:pt>
                <c:pt idx="12">
                  <c:v>Internal Medicine</c:v>
                </c:pt>
                <c:pt idx="13">
                  <c:v>Long-Term Care</c:v>
                </c:pt>
                <c:pt idx="14">
                  <c:v>Neonatal ICU (NICU)</c:v>
                </c:pt>
                <c:pt idx="15">
                  <c:v>Neurology</c:v>
                </c:pt>
                <c:pt idx="16">
                  <c:v>Neurosurgery</c:v>
                </c:pt>
                <c:pt idx="17">
                  <c:v>Oncology</c:v>
                </c:pt>
                <c:pt idx="18">
                  <c:v>Orthopedic Surgery</c:v>
                </c:pt>
                <c:pt idx="19">
                  <c:v>Palliative Care</c:v>
                </c:pt>
                <c:pt idx="20">
                  <c:v>Pediatrics General</c:v>
                </c:pt>
                <c:pt idx="21">
                  <c:v>Pulmonology</c:v>
                </c:pt>
                <c:pt idx="22">
                  <c:v>Rehabilitation Unit</c:v>
                </c:pt>
                <c:pt idx="23">
                  <c:v>Transplant Unit</c:v>
                </c:pt>
                <c:pt idx="24">
                  <c:v>Trauma Center</c:v>
                </c:pt>
              </c:strCache>
            </c:strRef>
          </c:cat>
          <c:val>
            <c:numRef>
              <c:f>'Staff Workload'!$C$4:$C$29</c:f>
              <c:numCache>
                <c:formatCode>0.00</c:formatCode>
                <c:ptCount val="25"/>
                <c:pt idx="0">
                  <c:v>0.72580645161290325</c:v>
                </c:pt>
                <c:pt idx="1">
                  <c:v>0.70987654320987659</c:v>
                </c:pt>
                <c:pt idx="2">
                  <c:v>0.72916666666666663</c:v>
                </c:pt>
                <c:pt idx="3">
                  <c:v>0.80419580419580416</c:v>
                </c:pt>
                <c:pt idx="4">
                  <c:v>0.76086956521739135</c:v>
                </c:pt>
                <c:pt idx="5">
                  <c:v>0.73529411764705888</c:v>
                </c:pt>
                <c:pt idx="6">
                  <c:v>1.0176991150442478</c:v>
                </c:pt>
                <c:pt idx="7">
                  <c:v>0.95238095238095233</c:v>
                </c:pt>
                <c:pt idx="8">
                  <c:v>0.76190476190476186</c:v>
                </c:pt>
                <c:pt idx="9">
                  <c:v>0.78125</c:v>
                </c:pt>
                <c:pt idx="10">
                  <c:v>0.82644628099173556</c:v>
                </c:pt>
                <c:pt idx="11">
                  <c:v>0.75757575757575757</c:v>
                </c:pt>
                <c:pt idx="12">
                  <c:v>0.60810810810810811</c:v>
                </c:pt>
                <c:pt idx="13">
                  <c:v>0.56372549019607843</c:v>
                </c:pt>
                <c:pt idx="14">
                  <c:v>0.80808080808080807</c:v>
                </c:pt>
                <c:pt idx="15">
                  <c:v>0.73825503355704702</c:v>
                </c:pt>
                <c:pt idx="16">
                  <c:v>0.78740157480314965</c:v>
                </c:pt>
                <c:pt idx="17">
                  <c:v>1.0176991150442478</c:v>
                </c:pt>
                <c:pt idx="18">
                  <c:v>0.69444444444444442</c:v>
                </c:pt>
                <c:pt idx="19">
                  <c:v>0.77586206896551724</c:v>
                </c:pt>
                <c:pt idx="20">
                  <c:v>1</c:v>
                </c:pt>
                <c:pt idx="21">
                  <c:v>0.70512820512820518</c:v>
                </c:pt>
                <c:pt idx="22">
                  <c:v>0.75757575757575757</c:v>
                </c:pt>
                <c:pt idx="23">
                  <c:v>0.67307692307692313</c:v>
                </c:pt>
                <c:pt idx="24">
                  <c:v>0.61643835616438358</c:v>
                </c:pt>
              </c:numCache>
            </c:numRef>
          </c:val>
          <c:smooth val="0"/>
          <c:extLst>
            <c:ext xmlns:c16="http://schemas.microsoft.com/office/drawing/2014/chart" uri="{C3380CC4-5D6E-409C-BE32-E72D297353CC}">
              <c16:uniqueId val="{00000001-FD1C-264A-8653-59F213C83247}"/>
            </c:ext>
          </c:extLst>
        </c:ser>
        <c:dLbls>
          <c:dLblPos val="ctr"/>
          <c:showLegendKey val="0"/>
          <c:showVal val="1"/>
          <c:showCatName val="0"/>
          <c:showSerName val="0"/>
          <c:showPercent val="0"/>
          <c:showBubbleSize val="0"/>
        </c:dLbls>
        <c:marker val="1"/>
        <c:smooth val="0"/>
        <c:axId val="1652327743"/>
        <c:axId val="1652334463"/>
      </c:lineChart>
      <c:catAx>
        <c:axId val="16523277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2334463"/>
        <c:crosses val="autoZero"/>
        <c:auto val="1"/>
        <c:lblAlgn val="ctr"/>
        <c:lblOffset val="100"/>
        <c:noMultiLvlLbl val="0"/>
      </c:catAx>
      <c:valAx>
        <c:axId val="16523344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6523277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[Hospital_bed_analysis_excel.xlsx]Delta Capacity!PivotTable4</c:name>
    <c:fmtId val="10"/>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Delta Capacity</a:t>
            </a:r>
          </a:p>
        </c:rich>
      </c:tx>
      <c:layout>
        <c:manualLayout>
          <c:xMode val="edge"/>
          <c:yMode val="edge"/>
          <c:x val="2.8067228438550446E-2"/>
          <c:y val="5.371900826446281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2.6722564116345524E-2"/>
          <c:y val="0.11462242562929062"/>
          <c:w val="0.89227038599697217"/>
          <c:h val="0.68534874502243281"/>
        </c:manualLayout>
      </c:layout>
      <c:barChart>
        <c:barDir val="col"/>
        <c:grouping val="clustered"/>
        <c:varyColors val="0"/>
        <c:ser>
          <c:idx val="0"/>
          <c:order val="0"/>
          <c:tx>
            <c:strRef>
              <c:f>'Delta Capacity'!$B$3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'Delta Capacity'!$A$4:$A$29</c:f>
              <c:strCache>
                <c:ptCount val="25"/>
                <c:pt idx="0">
                  <c:v>General Surgery</c:v>
                </c:pt>
                <c:pt idx="1">
                  <c:v>Long-Term Care</c:v>
                </c:pt>
                <c:pt idx="2">
                  <c:v>Pediatrics General</c:v>
                </c:pt>
                <c:pt idx="3">
                  <c:v>Internal Medicine</c:v>
                </c:pt>
                <c:pt idx="4">
                  <c:v>Emergency Department (ED)</c:v>
                </c:pt>
                <c:pt idx="5">
                  <c:v>Orthopedic Surgery</c:v>
                </c:pt>
                <c:pt idx="6">
                  <c:v>Rehabilitation Unit</c:v>
                </c:pt>
                <c:pt idx="7">
                  <c:v> Psychiatry</c:v>
                </c:pt>
                <c:pt idx="8">
                  <c:v>Trauma Center</c:v>
                </c:pt>
                <c:pt idx="9">
                  <c:v>Cardiac Surgery</c:v>
                </c:pt>
                <c:pt idx="10">
                  <c:v>Transplant Unit</c:v>
                </c:pt>
                <c:pt idx="11">
                  <c:v> Obstetrics &amp; Gynecology (O&amp;G)</c:v>
                </c:pt>
                <c:pt idx="12">
                  <c:v>Burn Unit</c:v>
                </c:pt>
                <c:pt idx="13">
                  <c:v>Neurosurgery</c:v>
                </c:pt>
                <c:pt idx="14">
                  <c:v>Oncology</c:v>
                </c:pt>
                <c:pt idx="15">
                  <c:v>Endocrinology</c:v>
                </c:pt>
                <c:pt idx="16">
                  <c:v> Nephrology</c:v>
                </c:pt>
                <c:pt idx="17">
                  <c:v>Cardiology</c:v>
                </c:pt>
                <c:pt idx="18">
                  <c:v>Neurology</c:v>
                </c:pt>
                <c:pt idx="19">
                  <c:v>Palliative Care</c:v>
                </c:pt>
                <c:pt idx="20">
                  <c:v> Pediatric ICU (PICU)</c:v>
                </c:pt>
                <c:pt idx="21">
                  <c:v>Gastroenterology</c:v>
                </c:pt>
                <c:pt idx="22">
                  <c:v>Pulmonology</c:v>
                </c:pt>
                <c:pt idx="23">
                  <c:v>Infectious Diseases</c:v>
                </c:pt>
                <c:pt idx="24">
                  <c:v>Neonatal ICU (NICU)</c:v>
                </c:pt>
              </c:strCache>
            </c:strRef>
          </c:cat>
          <c:val>
            <c:numRef>
              <c:f>'Delta Capacity'!$B$4:$B$29</c:f>
              <c:numCache>
                <c:formatCode>0</c:formatCode>
                <c:ptCount val="25"/>
                <c:pt idx="0">
                  <c:v>20</c:v>
                </c:pt>
                <c:pt idx="1">
                  <c:v>20</c:v>
                </c:pt>
                <c:pt idx="2">
                  <c:v>40</c:v>
                </c:pt>
                <c:pt idx="3">
                  <c:v>45</c:v>
                </c:pt>
                <c:pt idx="4">
                  <c:v>60</c:v>
                </c:pt>
                <c:pt idx="5">
                  <c:v>60</c:v>
                </c:pt>
                <c:pt idx="6">
                  <c:v>60</c:v>
                </c:pt>
                <c:pt idx="7">
                  <c:v>60</c:v>
                </c:pt>
                <c:pt idx="8">
                  <c:v>75</c:v>
                </c:pt>
                <c:pt idx="9">
                  <c:v>85</c:v>
                </c:pt>
                <c:pt idx="10">
                  <c:v>90</c:v>
                </c:pt>
                <c:pt idx="11">
                  <c:v>95</c:v>
                </c:pt>
                <c:pt idx="12">
                  <c:v>100</c:v>
                </c:pt>
                <c:pt idx="13">
                  <c:v>102</c:v>
                </c:pt>
                <c:pt idx="14">
                  <c:v>102</c:v>
                </c:pt>
                <c:pt idx="15">
                  <c:v>104</c:v>
                </c:pt>
                <c:pt idx="16">
                  <c:v>105</c:v>
                </c:pt>
                <c:pt idx="17">
                  <c:v>108</c:v>
                </c:pt>
                <c:pt idx="18">
                  <c:v>110</c:v>
                </c:pt>
                <c:pt idx="19">
                  <c:v>110</c:v>
                </c:pt>
                <c:pt idx="20">
                  <c:v>115</c:v>
                </c:pt>
                <c:pt idx="21">
                  <c:v>115</c:v>
                </c:pt>
                <c:pt idx="22">
                  <c:v>115</c:v>
                </c:pt>
                <c:pt idx="23">
                  <c:v>118</c:v>
                </c:pt>
                <c:pt idx="24">
                  <c:v>120</c:v>
                </c:pt>
              </c:numCache>
            </c:numRef>
          </c:val>
          <c:extLst>
            <c:ext xmlns:c16="http://schemas.microsoft.com/office/drawing/2014/chart" uri="{C3380CC4-5D6E-409C-BE32-E72D297353CC}">
              <c16:uniqueId val="{00000000-6DC6-F24A-A6FD-3DAE69C92B5C}"/>
            </c:ext>
          </c:extLst>
        </c:ser>
        <c:dLbls>
          <c:dLblPos val="inEnd"/>
          <c:showLegendKey val="0"/>
          <c:showVal val="1"/>
          <c:showCatName val="0"/>
          <c:showSerName val="0"/>
          <c:showPercent val="0"/>
          <c:showBubbleSize val="0"/>
        </c:dLbls>
        <c:gapWidth val="65"/>
        <c:axId val="1547949311"/>
        <c:axId val="1547944831"/>
      </c:barChart>
      <c:catAx>
        <c:axId val="1547949311"/>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Department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547944831"/>
        <c:crosses val="autoZero"/>
        <c:auto val="1"/>
        <c:lblAlgn val="ctr"/>
        <c:lblOffset val="100"/>
        <c:noMultiLvlLbl val="0"/>
      </c:catAx>
      <c:valAx>
        <c:axId val="15479448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Capacity Increase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54794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[Hospital_bed_analysis_excel.xlsx]staffing efficiency change!PivotTable5</c:name>
    <c:fmtId val="1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Staffing efficiency change</a:t>
            </a:r>
          </a:p>
        </c:rich>
      </c:tx>
      <c:layout>
        <c:manualLayout>
          <c:xMode val="edge"/>
          <c:yMode val="edge"/>
          <c:x val="2.7743830787309066E-2"/>
          <c:y val="1.995012468827930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'staffing efficiency change'!$B$3</c:f>
              <c:strCache>
                <c:ptCount val="1"/>
                <c:pt idx="0">
                  <c:v>Sum of staff_to_bed_ratio_new</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'staffing efficiency change'!$A$4:$A$29</c:f>
              <c:strCache>
                <c:ptCount val="25"/>
                <c:pt idx="0">
                  <c:v>Internal Medicine</c:v>
                </c:pt>
                <c:pt idx="1">
                  <c:v>General Surgery</c:v>
                </c:pt>
                <c:pt idx="2">
                  <c:v>Pulmonology</c:v>
                </c:pt>
                <c:pt idx="3">
                  <c:v>Long-Term Care</c:v>
                </c:pt>
                <c:pt idx="4">
                  <c:v>Trauma Center</c:v>
                </c:pt>
                <c:pt idx="5">
                  <c:v>Emergency Department (ED)</c:v>
                </c:pt>
                <c:pt idx="6">
                  <c:v>Cardiology</c:v>
                </c:pt>
                <c:pt idx="7">
                  <c:v>Cardiac Surgery</c:v>
                </c:pt>
                <c:pt idx="8">
                  <c:v>Neurology</c:v>
                </c:pt>
                <c:pt idx="9">
                  <c:v>Rehabilitation Unit</c:v>
                </c:pt>
                <c:pt idx="10">
                  <c:v>Orthopedic Surgery</c:v>
                </c:pt>
                <c:pt idx="11">
                  <c:v>Palliative Care</c:v>
                </c:pt>
                <c:pt idx="12">
                  <c:v> Psychiatry</c:v>
                </c:pt>
                <c:pt idx="13">
                  <c:v>Gastroenterology</c:v>
                </c:pt>
                <c:pt idx="14">
                  <c:v>Infectious Diseases</c:v>
                </c:pt>
                <c:pt idx="15">
                  <c:v>Neurosurgery</c:v>
                </c:pt>
                <c:pt idx="16">
                  <c:v>Pediatrics General</c:v>
                </c:pt>
                <c:pt idx="17">
                  <c:v> Obstetrics &amp; Gynecology (O&amp;G)</c:v>
                </c:pt>
                <c:pt idx="18">
                  <c:v> Nephrology</c:v>
                </c:pt>
                <c:pt idx="19">
                  <c:v>Oncology</c:v>
                </c:pt>
                <c:pt idx="20">
                  <c:v>Endocrinology</c:v>
                </c:pt>
                <c:pt idx="21">
                  <c:v>Burn Unit</c:v>
                </c:pt>
                <c:pt idx="22">
                  <c:v>Transplant Unit</c:v>
                </c:pt>
                <c:pt idx="23">
                  <c:v>Neonatal ICU (NICU)</c:v>
                </c:pt>
                <c:pt idx="24">
                  <c:v> Pediatric ICU (PICU)</c:v>
                </c:pt>
              </c:strCache>
            </c:strRef>
          </c:cat>
          <c:val>
            <c:numRef>
              <c:f>'staffing efficiency change'!$B$4:$B$29</c:f>
              <c:numCache>
                <c:formatCode>0.00</c:formatCode>
                <c:ptCount val="25"/>
                <c:pt idx="0">
                  <c:v>0.45</c:v>
                </c:pt>
                <c:pt idx="1">
                  <c:v>0.45454545454545453</c:v>
                </c:pt>
                <c:pt idx="2">
                  <c:v>0.45833333333333331</c:v>
                </c:pt>
                <c:pt idx="3">
                  <c:v>0.44230769230769229</c:v>
                </c:pt>
                <c:pt idx="4">
                  <c:v>0.45</c:v>
                </c:pt>
                <c:pt idx="5">
                  <c:v>0.45454545454545453</c:v>
                </c:pt>
                <c:pt idx="6">
                  <c:v>0.44230769230769229</c:v>
                </c:pt>
                <c:pt idx="7">
                  <c:v>0.45454545454545453</c:v>
                </c:pt>
                <c:pt idx="8">
                  <c:v>0.45833333333333331</c:v>
                </c:pt>
                <c:pt idx="9">
                  <c:v>0.45454545454545453</c:v>
                </c:pt>
                <c:pt idx="10">
                  <c:v>0.45454545454545453</c:v>
                </c:pt>
                <c:pt idx="11">
                  <c:v>0.45</c:v>
                </c:pt>
                <c:pt idx="12">
                  <c:v>0.44230769230769229</c:v>
                </c:pt>
                <c:pt idx="13">
                  <c:v>0.45454545454545453</c:v>
                </c:pt>
                <c:pt idx="14">
                  <c:v>0.45454545454545453</c:v>
                </c:pt>
                <c:pt idx="15">
                  <c:v>0.45454545454545453</c:v>
                </c:pt>
                <c:pt idx="16">
                  <c:v>0.45454545454545453</c:v>
                </c:pt>
                <c:pt idx="17">
                  <c:v>0.44230769230769229</c:v>
                </c:pt>
                <c:pt idx="18">
                  <c:v>0.45</c:v>
                </c:pt>
                <c:pt idx="19">
                  <c:v>0.44230769230769229</c:v>
                </c:pt>
                <c:pt idx="20">
                  <c:v>0.44444444444444442</c:v>
                </c:pt>
                <c:pt idx="21">
                  <c:v>0.4375</c:v>
                </c:pt>
                <c:pt idx="22">
                  <c:v>0.4375</c:v>
                </c:pt>
                <c:pt idx="23">
                  <c:v>0.44444444444444442</c:v>
                </c:pt>
                <c:pt idx="24">
                  <c:v>0.4375</c:v>
                </c:pt>
              </c:numCache>
            </c:numRef>
          </c:val>
          <c:extLst>
            <c:ext xmlns:c16="http://schemas.microsoft.com/office/drawing/2014/chart" uri="{C3380CC4-5D6E-409C-BE32-E72D297353CC}">
              <c16:uniqueId val="{00000000-81CE-0D47-9E74-D8FFE6F2603F}"/>
            </c:ext>
          </c:extLst>
        </c:ser>
        <c:ser>
          <c:idx val="1"/>
          <c:order val="1"/>
          <c:tx>
            <c:strRef>
              <c:f>'staffing efficiency change'!$C$3</c:f>
              <c:strCache>
                <c:ptCount val="1"/>
                <c:pt idx="0">
                  <c:v>Sum of staff_to_bed_ratio_old</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'staffing efficiency change'!$A$4:$A$29</c:f>
              <c:strCache>
                <c:ptCount val="25"/>
                <c:pt idx="0">
                  <c:v>Internal Medicine</c:v>
                </c:pt>
                <c:pt idx="1">
                  <c:v>General Surgery</c:v>
                </c:pt>
                <c:pt idx="2">
                  <c:v>Pulmonology</c:v>
                </c:pt>
                <c:pt idx="3">
                  <c:v>Long-Term Care</c:v>
                </c:pt>
                <c:pt idx="4">
                  <c:v>Trauma Center</c:v>
                </c:pt>
                <c:pt idx="5">
                  <c:v>Emergency Department (ED)</c:v>
                </c:pt>
                <c:pt idx="6">
                  <c:v>Cardiology</c:v>
                </c:pt>
                <c:pt idx="7">
                  <c:v>Cardiac Surgery</c:v>
                </c:pt>
                <c:pt idx="8">
                  <c:v>Neurology</c:v>
                </c:pt>
                <c:pt idx="9">
                  <c:v>Rehabilitation Unit</c:v>
                </c:pt>
                <c:pt idx="10">
                  <c:v>Orthopedic Surgery</c:v>
                </c:pt>
                <c:pt idx="11">
                  <c:v>Palliative Care</c:v>
                </c:pt>
                <c:pt idx="12">
                  <c:v> Psychiatry</c:v>
                </c:pt>
                <c:pt idx="13">
                  <c:v>Gastroenterology</c:v>
                </c:pt>
                <c:pt idx="14">
                  <c:v>Infectious Diseases</c:v>
                </c:pt>
                <c:pt idx="15">
                  <c:v>Neurosurgery</c:v>
                </c:pt>
                <c:pt idx="16">
                  <c:v>Pediatrics General</c:v>
                </c:pt>
                <c:pt idx="17">
                  <c:v> Obstetrics &amp; Gynecology (O&amp;G)</c:v>
                </c:pt>
                <c:pt idx="18">
                  <c:v> Nephrology</c:v>
                </c:pt>
                <c:pt idx="19">
                  <c:v>Oncology</c:v>
                </c:pt>
                <c:pt idx="20">
                  <c:v>Endocrinology</c:v>
                </c:pt>
                <c:pt idx="21">
                  <c:v>Burn Unit</c:v>
                </c:pt>
                <c:pt idx="22">
                  <c:v>Transplant Unit</c:v>
                </c:pt>
                <c:pt idx="23">
                  <c:v>Neonatal ICU (NICU)</c:v>
                </c:pt>
                <c:pt idx="24">
                  <c:v> Pediatric ICU (PICU)</c:v>
                </c:pt>
              </c:strCache>
            </c:strRef>
          </c:cat>
          <c:val>
            <c:numRef>
              <c:f>'staffing efficiency change'!$C$4:$C$29</c:f>
              <c:numCache>
                <c:formatCode>0.00</c:formatCode>
                <c:ptCount val="25"/>
                <c:pt idx="0">
                  <c:v>0.58823529411764708</c:v>
                </c:pt>
                <c:pt idx="1">
                  <c:v>0.65</c:v>
                </c:pt>
                <c:pt idx="2">
                  <c:v>0.65600000000000003</c:v>
                </c:pt>
                <c:pt idx="3">
                  <c:v>0.66666666666666663</c:v>
                </c:pt>
                <c:pt idx="4">
                  <c:v>0.68</c:v>
                </c:pt>
                <c:pt idx="5">
                  <c:v>0.6875</c:v>
                </c:pt>
                <c:pt idx="6">
                  <c:v>0.69078947368421051</c:v>
                </c:pt>
                <c:pt idx="7">
                  <c:v>0.70370370370370372</c:v>
                </c:pt>
                <c:pt idx="8">
                  <c:v>0.70769230769230773</c:v>
                </c:pt>
                <c:pt idx="9">
                  <c:v>0.71875</c:v>
                </c:pt>
                <c:pt idx="10">
                  <c:v>0.71875</c:v>
                </c:pt>
                <c:pt idx="11">
                  <c:v>0.72222222222222221</c:v>
                </c:pt>
                <c:pt idx="12">
                  <c:v>0.72499999999999998</c:v>
                </c:pt>
                <c:pt idx="13">
                  <c:v>0.74285714285714288</c:v>
                </c:pt>
                <c:pt idx="14">
                  <c:v>0.74509803921568629</c:v>
                </c:pt>
                <c:pt idx="15">
                  <c:v>0.74576271186440679</c:v>
                </c:pt>
                <c:pt idx="16">
                  <c:v>0.75</c:v>
                </c:pt>
                <c:pt idx="17">
                  <c:v>0.75757575757575757</c:v>
                </c:pt>
                <c:pt idx="18">
                  <c:v>0.75789473684210529</c:v>
                </c:pt>
                <c:pt idx="19">
                  <c:v>0.759493670886076</c:v>
                </c:pt>
                <c:pt idx="20">
                  <c:v>0.76315789473684215</c:v>
                </c:pt>
                <c:pt idx="21">
                  <c:v>0.83333333333333337</c:v>
                </c:pt>
                <c:pt idx="22">
                  <c:v>0.8571428571428571</c:v>
                </c:pt>
                <c:pt idx="23">
                  <c:v>1.1666666666666667</c:v>
                </c:pt>
                <c:pt idx="24">
                  <c:v>1.3333333333333333</c:v>
                </c:pt>
              </c:numCache>
            </c:numRef>
          </c:val>
          <c:extLst>
            <c:ext xmlns:c16="http://schemas.microsoft.com/office/drawing/2014/chart" uri="{C3380CC4-5D6E-409C-BE32-E72D297353CC}">
              <c16:uniqueId val="{00000001-81CE-0D47-9E74-D8FFE6F2603F}"/>
            </c:ext>
          </c:extLst>
        </c:ser>
        <c:dLbls>
          <c:dLblPos val="inEnd"/>
          <c:showLegendKey val="0"/>
          <c:showVal val="1"/>
          <c:showCatName val="0"/>
          <c:showSerName val="0"/>
          <c:showPercent val="0"/>
          <c:showBubbleSize val="0"/>
        </c:dLbls>
        <c:gapWidth val="65"/>
        <c:axId val="1573992447"/>
        <c:axId val="1550033215"/>
      </c:barChart>
      <c:catAx>
        <c:axId val="1573992447"/>
        <c:scaling>
          <c:orientation val="minMax"/>
        </c:scaling>
        <c:delete val="1"/>
        <c:axPos val="l"/>
        <c:numFmt formatCode="General" sourceLinked="1"/>
        <c:majorTickMark val="none"/>
        <c:minorTickMark val="none"/>
        <c:tickLblPos val="nextTo"/>
        <c:crossAx val="1550033215"/>
        <c:crosses val="autoZero"/>
        <c:auto val="1"/>
        <c:lblAlgn val="ctr"/>
        <c:lblOffset val="100"/>
        <c:noMultiLvlLbl val="0"/>
      </c:catAx>
      <c:valAx>
        <c:axId val="15500332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399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[Hospital_bed_analysis_excel.xlsx]Staff Workload!PivotTable8</c:name>
    <c:fmtId val="8"/>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Staff to patient ratio</a:t>
            </a:r>
          </a:p>
        </c:rich>
      </c:tx>
      <c:layout>
        <c:manualLayout>
          <c:xMode val="edge"/>
          <c:yMode val="edge"/>
          <c:x val="4.4902920788747559E-2"/>
          <c:y val="0.8617919280145752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45555645750469E-2"/>
          <c:y val="2.1526418786692758E-2"/>
          <c:w val="0.8517570419676922"/>
          <c:h val="0.75554956315392086"/>
        </c:manualLayout>
      </c:layout>
      <c:lineChart>
        <c:grouping val="standard"/>
        <c:varyColors val="0"/>
        <c:ser>
          <c:idx val="0"/>
          <c:order val="0"/>
          <c:tx>
            <c:strRef>
              <c:f>'Staff Workload'!$B$3</c:f>
              <c:strCache>
                <c:ptCount val="1"/>
                <c:pt idx="0">
                  <c:v>Sum of staff_to_patient_ratio_old</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'Staff Workload'!$A$4:$A$29</c:f>
              <c:strCache>
                <c:ptCount val="25"/>
                <c:pt idx="0">
                  <c:v> Nephrology</c:v>
                </c:pt>
                <c:pt idx="1">
                  <c:v> Obstetrics &amp; Gynecology (O&amp;G)</c:v>
                </c:pt>
                <c:pt idx="2">
                  <c:v> Pediatric ICU (PICU)</c:v>
                </c:pt>
                <c:pt idx="3">
                  <c:v> Psychiatry</c:v>
                </c:pt>
                <c:pt idx="4">
                  <c:v>Burn Unit</c:v>
                </c:pt>
                <c:pt idx="5">
                  <c:v>Cardiac Surgery</c:v>
                </c:pt>
                <c:pt idx="6">
                  <c:v>Cardiology</c:v>
                </c:pt>
                <c:pt idx="7">
                  <c:v>Emergency Department (ED)</c:v>
                </c:pt>
                <c:pt idx="8">
                  <c:v>Endocrinology</c:v>
                </c:pt>
                <c:pt idx="9">
                  <c:v>Gastroenterology</c:v>
                </c:pt>
                <c:pt idx="10">
                  <c:v>General Surgery</c:v>
                </c:pt>
                <c:pt idx="11">
                  <c:v>Infectious Diseases</c:v>
                </c:pt>
                <c:pt idx="12">
                  <c:v>Internal Medicine</c:v>
                </c:pt>
                <c:pt idx="13">
                  <c:v>Long-Term Care</c:v>
                </c:pt>
                <c:pt idx="14">
                  <c:v>Neonatal ICU (NICU)</c:v>
                </c:pt>
                <c:pt idx="15">
                  <c:v>Neurology</c:v>
                </c:pt>
                <c:pt idx="16">
                  <c:v>Neurosurgery</c:v>
                </c:pt>
                <c:pt idx="17">
                  <c:v>Oncology</c:v>
                </c:pt>
                <c:pt idx="18">
                  <c:v>Orthopedic Surgery</c:v>
                </c:pt>
                <c:pt idx="19">
                  <c:v>Palliative Care</c:v>
                </c:pt>
                <c:pt idx="20">
                  <c:v>Pediatrics General</c:v>
                </c:pt>
                <c:pt idx="21">
                  <c:v>Pulmonology</c:v>
                </c:pt>
                <c:pt idx="22">
                  <c:v>Rehabilitation Unit</c:v>
                </c:pt>
                <c:pt idx="23">
                  <c:v>Transplant Unit</c:v>
                </c:pt>
                <c:pt idx="24">
                  <c:v>Trauma Center</c:v>
                </c:pt>
              </c:strCache>
            </c:strRef>
          </c:cat>
          <c:val>
            <c:numRef>
              <c:f>'Staff Workload'!$B$4:$B$29</c:f>
              <c:numCache>
                <c:formatCode>0.00</c:formatCode>
                <c:ptCount val="25"/>
                <c:pt idx="0">
                  <c:v>0.91139240506329111</c:v>
                </c:pt>
                <c:pt idx="1">
                  <c:v>0.93283582089552242</c:v>
                </c:pt>
                <c:pt idx="2">
                  <c:v>0.78947368421052633</c:v>
                </c:pt>
                <c:pt idx="3">
                  <c:v>0.96666666666666667</c:v>
                </c:pt>
                <c:pt idx="4">
                  <c:v>1</c:v>
                </c:pt>
                <c:pt idx="5">
                  <c:v>0.90476190476190477</c:v>
                </c:pt>
                <c:pt idx="6">
                  <c:v>0.85365853658536583</c:v>
                </c:pt>
                <c:pt idx="7">
                  <c:v>0.82089552238805974</c:v>
                </c:pt>
                <c:pt idx="8">
                  <c:v>0.92063492063492058</c:v>
                </c:pt>
                <c:pt idx="9">
                  <c:v>0.91764705882352937</c:v>
                </c:pt>
                <c:pt idx="10">
                  <c:v>0.80745341614906829</c:v>
                </c:pt>
                <c:pt idx="11">
                  <c:v>0.91566265060240959</c:v>
                </c:pt>
                <c:pt idx="12">
                  <c:v>0.73891625615763545</c:v>
                </c:pt>
                <c:pt idx="13">
                  <c:v>0.94117647058823528</c:v>
                </c:pt>
                <c:pt idx="14">
                  <c:v>0.7</c:v>
                </c:pt>
                <c:pt idx="15">
                  <c:v>0.86792452830188682</c:v>
                </c:pt>
                <c:pt idx="16">
                  <c:v>0.90721649484536082</c:v>
                </c:pt>
                <c:pt idx="17">
                  <c:v>0.93023255813953487</c:v>
                </c:pt>
                <c:pt idx="18">
                  <c:v>0.88461538461538458</c:v>
                </c:pt>
                <c:pt idx="19">
                  <c:v>1.0833333333333333</c:v>
                </c:pt>
                <c:pt idx="20">
                  <c:v>0.92465753424657537</c:v>
                </c:pt>
                <c:pt idx="21">
                  <c:v>0.80392156862745101</c:v>
                </c:pt>
                <c:pt idx="22">
                  <c:v>1.0454545454545454</c:v>
                </c:pt>
                <c:pt idx="23">
                  <c:v>1.0526315789473684</c:v>
                </c:pt>
                <c:pt idx="24">
                  <c:v>0.80952380952380953</c:v>
                </c:pt>
              </c:numCache>
            </c:numRef>
          </c:val>
          <c:smooth val="0"/>
          <c:extLst>
            <c:ext xmlns:c16="http://schemas.microsoft.com/office/drawing/2014/chart" uri="{C3380CC4-5D6E-409C-BE32-E72D297353CC}">
              <c16:uniqueId val="{00000000-D3FC-024C-9EFA-7C8A9366F6EA}"/>
            </c:ext>
          </c:extLst>
        </c:ser>
        <c:ser>
          <c:idx val="1"/>
          <c:order val="1"/>
          <c:tx>
            <c:strRef>
              <c:f>'Staff Workload'!$C$3</c:f>
              <c:strCache>
                <c:ptCount val="1"/>
                <c:pt idx="0">
                  <c:v>Sum of staff_to_patient_ratio_new</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'Staff Workload'!$A$4:$A$29</c:f>
              <c:strCache>
                <c:ptCount val="25"/>
                <c:pt idx="0">
                  <c:v> Nephrology</c:v>
                </c:pt>
                <c:pt idx="1">
                  <c:v> Obstetrics &amp; Gynecology (O&amp;G)</c:v>
                </c:pt>
                <c:pt idx="2">
                  <c:v> Pediatric ICU (PICU)</c:v>
                </c:pt>
                <c:pt idx="3">
                  <c:v> Psychiatry</c:v>
                </c:pt>
                <c:pt idx="4">
                  <c:v>Burn Unit</c:v>
                </c:pt>
                <c:pt idx="5">
                  <c:v>Cardiac Surgery</c:v>
                </c:pt>
                <c:pt idx="6">
                  <c:v>Cardiology</c:v>
                </c:pt>
                <c:pt idx="7">
                  <c:v>Emergency Department (ED)</c:v>
                </c:pt>
                <c:pt idx="8">
                  <c:v>Endocrinology</c:v>
                </c:pt>
                <c:pt idx="9">
                  <c:v>Gastroenterology</c:v>
                </c:pt>
                <c:pt idx="10">
                  <c:v>General Surgery</c:v>
                </c:pt>
                <c:pt idx="11">
                  <c:v>Infectious Diseases</c:v>
                </c:pt>
                <c:pt idx="12">
                  <c:v>Internal Medicine</c:v>
                </c:pt>
                <c:pt idx="13">
                  <c:v>Long-Term Care</c:v>
                </c:pt>
                <c:pt idx="14">
                  <c:v>Neonatal ICU (NICU)</c:v>
                </c:pt>
                <c:pt idx="15">
                  <c:v>Neurology</c:v>
                </c:pt>
                <c:pt idx="16">
                  <c:v>Neurosurgery</c:v>
                </c:pt>
                <c:pt idx="17">
                  <c:v>Oncology</c:v>
                </c:pt>
                <c:pt idx="18">
                  <c:v>Orthopedic Surgery</c:v>
                </c:pt>
                <c:pt idx="19">
                  <c:v>Palliative Care</c:v>
                </c:pt>
                <c:pt idx="20">
                  <c:v>Pediatrics General</c:v>
                </c:pt>
                <c:pt idx="21">
                  <c:v>Pulmonology</c:v>
                </c:pt>
                <c:pt idx="22">
                  <c:v>Rehabilitation Unit</c:v>
                </c:pt>
                <c:pt idx="23">
                  <c:v>Transplant Unit</c:v>
                </c:pt>
                <c:pt idx="24">
                  <c:v>Trauma Center</c:v>
                </c:pt>
              </c:strCache>
            </c:strRef>
          </c:cat>
          <c:val>
            <c:numRef>
              <c:f>'Staff Workload'!$C$4:$C$29</c:f>
              <c:numCache>
                <c:formatCode>0.00</c:formatCode>
                <c:ptCount val="25"/>
                <c:pt idx="0">
                  <c:v>0.72580645161290325</c:v>
                </c:pt>
                <c:pt idx="1">
                  <c:v>0.70987654320987659</c:v>
                </c:pt>
                <c:pt idx="2">
                  <c:v>0.72916666666666663</c:v>
                </c:pt>
                <c:pt idx="3">
                  <c:v>0.80419580419580416</c:v>
                </c:pt>
                <c:pt idx="4">
                  <c:v>0.76086956521739135</c:v>
                </c:pt>
                <c:pt idx="5">
                  <c:v>0.73529411764705888</c:v>
                </c:pt>
                <c:pt idx="6">
                  <c:v>1.0176991150442478</c:v>
                </c:pt>
                <c:pt idx="7">
                  <c:v>0.95238095238095233</c:v>
                </c:pt>
                <c:pt idx="8">
                  <c:v>0.76190476190476186</c:v>
                </c:pt>
                <c:pt idx="9">
                  <c:v>0.78125</c:v>
                </c:pt>
                <c:pt idx="10">
                  <c:v>0.82644628099173556</c:v>
                </c:pt>
                <c:pt idx="11">
                  <c:v>0.75757575757575757</c:v>
                </c:pt>
                <c:pt idx="12">
                  <c:v>0.60810810810810811</c:v>
                </c:pt>
                <c:pt idx="13">
                  <c:v>0.56372549019607843</c:v>
                </c:pt>
                <c:pt idx="14">
                  <c:v>0.80808080808080807</c:v>
                </c:pt>
                <c:pt idx="15">
                  <c:v>0.73825503355704702</c:v>
                </c:pt>
                <c:pt idx="16">
                  <c:v>0.78740157480314965</c:v>
                </c:pt>
                <c:pt idx="17">
                  <c:v>1.0176991150442478</c:v>
                </c:pt>
                <c:pt idx="18">
                  <c:v>0.69444444444444442</c:v>
                </c:pt>
                <c:pt idx="19">
                  <c:v>0.77586206896551724</c:v>
                </c:pt>
                <c:pt idx="20">
                  <c:v>1</c:v>
                </c:pt>
                <c:pt idx="21">
                  <c:v>0.70512820512820518</c:v>
                </c:pt>
                <c:pt idx="22">
                  <c:v>0.75757575757575757</c:v>
                </c:pt>
                <c:pt idx="23">
                  <c:v>0.67307692307692313</c:v>
                </c:pt>
                <c:pt idx="24">
                  <c:v>0.61643835616438358</c:v>
                </c:pt>
              </c:numCache>
            </c:numRef>
          </c:val>
          <c:smooth val="0"/>
          <c:extLst>
            <c:ext xmlns:c16="http://schemas.microsoft.com/office/drawing/2014/chart" uri="{C3380CC4-5D6E-409C-BE32-E72D297353CC}">
              <c16:uniqueId val="{00000001-D3FC-024C-9EFA-7C8A9366F6EA}"/>
            </c:ext>
          </c:extLst>
        </c:ser>
        <c:dLbls>
          <c:dLblPos val="ctr"/>
          <c:showLegendKey val="0"/>
          <c:showVal val="1"/>
          <c:showCatName val="0"/>
          <c:showSerName val="0"/>
          <c:showPercent val="0"/>
          <c:showBubbleSize val="0"/>
        </c:dLbls>
        <c:marker val="1"/>
        <c:smooth val="0"/>
        <c:axId val="1652327743"/>
        <c:axId val="1652334463"/>
      </c:lineChart>
      <c:catAx>
        <c:axId val="1652327743"/>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2334463"/>
        <c:crosses val="autoZero"/>
        <c:auto val="1"/>
        <c:lblAlgn val="ctr"/>
        <c:lblOffset val="100"/>
        <c:noMultiLvlLbl val="0"/>
      </c:catAx>
      <c:valAx>
        <c:axId val="16523344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65232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[Hospital_bed_analysis_excel.xlsx]ICU heatmap!PivotTable6</c:name>
    <c:fmtId val="9"/>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icu</a:t>
            </a:r>
            <a:r>
              <a:rPr lang="en-US" sz="1100" baseline="0"/>
              <a:t> heatmap</a:t>
            </a:r>
            <a:endParaRPr lang="en-US" sz="1100"/>
          </a:p>
        </c:rich>
      </c:tx>
      <c:layout>
        <c:manualLayout>
          <c:xMode val="edge"/>
          <c:yMode val="edge"/>
          <c:x val="3.6169844020797232E-2"/>
          <c:y val="4.7761194029850747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3"/>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31750" cap="rnd" cmpd="sng" algn="ctr">
            <a:solidFill>
              <a:schemeClr val="accent3"/>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ln w="31750" cap="rnd">
            <a:solidFill>
              <a:schemeClr val="accent3"/>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'ICU heatmap'!$B$3</c:f>
              <c:strCache>
                <c:ptCount val="1"/>
                <c:pt idx="0">
                  <c:v>Sum of ICU_bed_new</c:v>
                </c:pt>
              </c:strCache>
            </c:strRef>
          </c:tx>
          <c:spPr>
            <a:ln w="31750" cap="rnd">
              <a:solidFill>
                <a:schemeClr val="accent3"/>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'ICU heatmap'!$A$4:$A$29</c:f>
              <c:strCache>
                <c:ptCount val="25"/>
                <c:pt idx="0">
                  <c:v> Nephrology</c:v>
                </c:pt>
                <c:pt idx="1">
                  <c:v> Obstetrics &amp; Gynecology (O&amp;G)</c:v>
                </c:pt>
                <c:pt idx="2">
                  <c:v> Pediatric ICU (PICU)</c:v>
                </c:pt>
                <c:pt idx="3">
                  <c:v> Psychiatry</c:v>
                </c:pt>
                <c:pt idx="4">
                  <c:v>Burn Unit</c:v>
                </c:pt>
                <c:pt idx="5">
                  <c:v>Cardiac Surgery</c:v>
                </c:pt>
                <c:pt idx="6">
                  <c:v>Cardiology</c:v>
                </c:pt>
                <c:pt idx="7">
                  <c:v>Emergency Department (ED)</c:v>
                </c:pt>
                <c:pt idx="8">
                  <c:v>Endocrinology</c:v>
                </c:pt>
                <c:pt idx="9">
                  <c:v>Gastroenterology</c:v>
                </c:pt>
                <c:pt idx="10">
                  <c:v>General Surgery</c:v>
                </c:pt>
                <c:pt idx="11">
                  <c:v>Infectious Diseases</c:v>
                </c:pt>
                <c:pt idx="12">
                  <c:v>Internal Medicine</c:v>
                </c:pt>
                <c:pt idx="13">
                  <c:v>Long-Term Care</c:v>
                </c:pt>
                <c:pt idx="14">
                  <c:v>Neonatal ICU (NICU)</c:v>
                </c:pt>
                <c:pt idx="15">
                  <c:v>Neurology</c:v>
                </c:pt>
                <c:pt idx="16">
                  <c:v>Neurosurgery</c:v>
                </c:pt>
                <c:pt idx="17">
                  <c:v>Oncology</c:v>
                </c:pt>
                <c:pt idx="18">
                  <c:v>Orthopedic Surgery</c:v>
                </c:pt>
                <c:pt idx="19">
                  <c:v>Palliative Care</c:v>
                </c:pt>
                <c:pt idx="20">
                  <c:v>Pediatrics General</c:v>
                </c:pt>
                <c:pt idx="21">
                  <c:v>Pulmonology</c:v>
                </c:pt>
                <c:pt idx="22">
                  <c:v>Rehabilitation Unit</c:v>
                </c:pt>
                <c:pt idx="23">
                  <c:v>Transplant Unit</c:v>
                </c:pt>
                <c:pt idx="24">
                  <c:v>Trauma Center</c:v>
                </c:pt>
              </c:strCache>
            </c:strRef>
          </c:cat>
          <c:val>
            <c:numRef>
              <c:f>'ICU heatmap'!$B$4:$B$29</c:f>
              <c:numCache>
                <c:formatCode>0</c:formatCode>
                <c:ptCount val="25"/>
                <c:pt idx="0">
                  <c:v>22</c:v>
                </c:pt>
                <c:pt idx="1">
                  <c:v>30</c:v>
                </c:pt>
                <c:pt idx="2">
                  <c:v>90</c:v>
                </c:pt>
                <c:pt idx="3">
                  <c:v>8</c:v>
                </c:pt>
                <c:pt idx="4">
                  <c:v>75</c:v>
                </c:pt>
                <c:pt idx="5">
                  <c:v>60</c:v>
                </c:pt>
                <c:pt idx="6">
                  <c:v>60</c:v>
                </c:pt>
                <c:pt idx="7">
                  <c:v>45</c:v>
                </c:pt>
                <c:pt idx="8">
                  <c:v>15</c:v>
                </c:pt>
                <c:pt idx="9">
                  <c:v>22</c:v>
                </c:pt>
                <c:pt idx="10">
                  <c:v>45</c:v>
                </c:pt>
                <c:pt idx="11">
                  <c:v>45</c:v>
                </c:pt>
                <c:pt idx="12">
                  <c:v>45</c:v>
                </c:pt>
                <c:pt idx="13">
                  <c:v>15</c:v>
                </c:pt>
                <c:pt idx="14">
                  <c:v>105</c:v>
                </c:pt>
                <c:pt idx="15">
                  <c:v>45</c:v>
                </c:pt>
                <c:pt idx="16">
                  <c:v>52</c:v>
                </c:pt>
                <c:pt idx="17">
                  <c:v>38</c:v>
                </c:pt>
                <c:pt idx="18">
                  <c:v>30</c:v>
                </c:pt>
                <c:pt idx="19">
                  <c:v>15</c:v>
                </c:pt>
                <c:pt idx="20">
                  <c:v>30</c:v>
                </c:pt>
                <c:pt idx="21">
                  <c:v>38</c:v>
                </c:pt>
                <c:pt idx="22">
                  <c:v>15</c:v>
                </c:pt>
                <c:pt idx="23">
                  <c:v>75</c:v>
                </c:pt>
                <c:pt idx="24">
                  <c:v>60</c:v>
                </c:pt>
              </c:numCache>
            </c:numRef>
          </c:val>
          <c:smooth val="0"/>
          <c:extLst>
            <c:ext xmlns:c16="http://schemas.microsoft.com/office/drawing/2014/chart" uri="{C3380CC4-5D6E-409C-BE32-E72D297353CC}">
              <c16:uniqueId val="{00000000-7DFC-B04D-8DCB-5173D09D2834}"/>
            </c:ext>
          </c:extLst>
        </c:ser>
        <c:ser>
          <c:idx val="1"/>
          <c:order val="1"/>
          <c:tx>
            <c:strRef>
              <c:f>'ICU heatmap'!$C$3</c:f>
              <c:strCache>
                <c:ptCount val="1"/>
                <c:pt idx="0">
                  <c:v>Sum of ICU_beds_old</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'ICU heatmap'!$A$4:$A$29</c:f>
              <c:strCache>
                <c:ptCount val="25"/>
                <c:pt idx="0">
                  <c:v> Nephrology</c:v>
                </c:pt>
                <c:pt idx="1">
                  <c:v> Obstetrics &amp; Gynecology (O&amp;G)</c:v>
                </c:pt>
                <c:pt idx="2">
                  <c:v> Pediatric ICU (PICU)</c:v>
                </c:pt>
                <c:pt idx="3">
                  <c:v> Psychiatry</c:v>
                </c:pt>
                <c:pt idx="4">
                  <c:v>Burn Unit</c:v>
                </c:pt>
                <c:pt idx="5">
                  <c:v>Cardiac Surgery</c:v>
                </c:pt>
                <c:pt idx="6">
                  <c:v>Cardiology</c:v>
                </c:pt>
                <c:pt idx="7">
                  <c:v>Emergency Department (ED)</c:v>
                </c:pt>
                <c:pt idx="8">
                  <c:v>Endocrinology</c:v>
                </c:pt>
                <c:pt idx="9">
                  <c:v>Gastroenterology</c:v>
                </c:pt>
                <c:pt idx="10">
                  <c:v>General Surgery</c:v>
                </c:pt>
                <c:pt idx="11">
                  <c:v>Infectious Diseases</c:v>
                </c:pt>
                <c:pt idx="12">
                  <c:v>Internal Medicine</c:v>
                </c:pt>
                <c:pt idx="13">
                  <c:v>Long-Term Care</c:v>
                </c:pt>
                <c:pt idx="14">
                  <c:v>Neonatal ICU (NICU)</c:v>
                </c:pt>
                <c:pt idx="15">
                  <c:v>Neurology</c:v>
                </c:pt>
                <c:pt idx="16">
                  <c:v>Neurosurgery</c:v>
                </c:pt>
                <c:pt idx="17">
                  <c:v>Oncology</c:v>
                </c:pt>
                <c:pt idx="18">
                  <c:v>Orthopedic Surgery</c:v>
                </c:pt>
                <c:pt idx="19">
                  <c:v>Palliative Care</c:v>
                </c:pt>
                <c:pt idx="20">
                  <c:v>Pediatrics General</c:v>
                </c:pt>
                <c:pt idx="21">
                  <c:v>Pulmonology</c:v>
                </c:pt>
                <c:pt idx="22">
                  <c:v>Rehabilitation Unit</c:v>
                </c:pt>
                <c:pt idx="23">
                  <c:v>Transplant Unit</c:v>
                </c:pt>
                <c:pt idx="24">
                  <c:v>Trauma Center</c:v>
                </c:pt>
              </c:strCache>
            </c:strRef>
          </c:cat>
          <c:val>
            <c:numRef>
              <c:f>'ICU heatmap'!$C$4:$C$29</c:f>
              <c:numCache>
                <c:formatCode>0</c:formatCode>
                <c:ptCount val="25"/>
                <c:pt idx="0">
                  <c:v>10</c:v>
                </c:pt>
                <c:pt idx="1">
                  <c:v>5</c:v>
                </c:pt>
                <c:pt idx="2">
                  <c:v>45</c:v>
                </c:pt>
                <c:pt idx="3">
                  <c:v>0</c:v>
                </c:pt>
                <c:pt idx="4">
                  <c:v>20</c:v>
                </c:pt>
                <c:pt idx="5">
                  <c:v>25</c:v>
                </c:pt>
                <c:pt idx="6">
                  <c:v>22</c:v>
                </c:pt>
                <c:pt idx="7">
                  <c:v>20</c:v>
                </c:pt>
                <c:pt idx="8">
                  <c:v>6</c:v>
                </c:pt>
                <c:pt idx="9">
                  <c:v>10</c:v>
                </c:pt>
                <c:pt idx="10">
                  <c:v>20</c:v>
                </c:pt>
                <c:pt idx="11">
                  <c:v>12</c:v>
                </c:pt>
                <c:pt idx="12">
                  <c:v>15</c:v>
                </c:pt>
                <c:pt idx="13">
                  <c:v>0</c:v>
                </c:pt>
                <c:pt idx="14">
                  <c:v>60</c:v>
                </c:pt>
                <c:pt idx="15">
                  <c:v>20</c:v>
                </c:pt>
                <c:pt idx="16">
                  <c:v>18</c:v>
                </c:pt>
                <c:pt idx="17">
                  <c:v>18</c:v>
                </c:pt>
                <c:pt idx="18">
                  <c:v>10</c:v>
                </c:pt>
                <c:pt idx="19">
                  <c:v>0</c:v>
                </c:pt>
                <c:pt idx="20">
                  <c:v>10</c:v>
                </c:pt>
                <c:pt idx="21">
                  <c:v>15</c:v>
                </c:pt>
                <c:pt idx="22">
                  <c:v>0</c:v>
                </c:pt>
                <c:pt idx="23">
                  <c:v>20</c:v>
                </c:pt>
                <c:pt idx="24">
                  <c:v>25</c:v>
                </c:pt>
              </c:numCache>
            </c:numRef>
          </c:val>
          <c:smooth val="0"/>
          <c:extLst>
            <c:ext xmlns:c16="http://schemas.microsoft.com/office/drawing/2014/chart" uri="{C3380CC4-5D6E-409C-BE32-E72D297353CC}">
              <c16:uniqueId val="{00000001-7DFC-B04D-8DCB-5173D09D2834}"/>
            </c:ext>
          </c:extLst>
        </c:ser>
        <c:dLbls>
          <c:dLblPos val="ctr"/>
          <c:showLegendKey val="0"/>
          <c:showVal val="1"/>
          <c:showCatName val="0"/>
          <c:showSerName val="0"/>
          <c:showPercent val="0"/>
          <c:showBubbleSize val="0"/>
        </c:dLbls>
        <c:marker val="1"/>
        <c:smooth val="0"/>
        <c:axId val="1549545279"/>
        <c:axId val="1549538111"/>
      </c:lineChart>
      <c:catAx>
        <c:axId val="1549545279"/>
        <c:scaling>
          <c:orientation val="minMax"/>
        </c:scaling>
        <c:delete val="1"/>
        <c:axPos val="b"/>
        <c:numFmt formatCode="General" sourceLinked="1"/>
        <c:majorTickMark val="none"/>
        <c:minorTickMark val="none"/>
        <c:tickLblPos val="nextTo"/>
        <c:crossAx val="1549538111"/>
        <c:crosses val="autoZero"/>
        <c:auto val="1"/>
        <c:lblAlgn val="ctr"/>
        <c:lblOffset val="100"/>
        <c:noMultiLvlLbl val="0"/>
      </c:catAx>
      <c:valAx>
        <c:axId val="15495381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4954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[Hospital_bed_analysis_excel.xlsx]Departmental occupancy!PivotTable7</c:name>
    <c:fmtId val="1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Departmental Occupancy Rates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alpha val="70000"/>
            </a:schemeClr>
          </a:solidFill>
          <a:ln>
            <a:noFill/>
          </a:ln>
          <a:effectLst/>
        </c:spPr>
        <c:marker>
          <c:symbol val="circle"/>
          <c:size val="6"/>
          <c:spPr>
            <a:solidFill>
              <a:schemeClr val="accent1">
                <a:shade val="76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alpha val="70000"/>
            </a:schemeClr>
          </a:solidFill>
          <a:ln>
            <a:noFill/>
          </a:ln>
          <a:effectLst/>
        </c:spPr>
        <c:marker>
          <c:symbol val="circle"/>
          <c:size val="6"/>
          <c:spPr>
            <a:solidFill>
              <a:schemeClr val="accent1">
                <a:tint val="77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'Departmental occupancy'!$B$3</c:f>
              <c:strCache>
                <c:ptCount val="1"/>
                <c:pt idx="0">
                  <c:v>Sum of occupancy_rate_new</c:v>
                </c:pt>
              </c:strCache>
            </c:strRef>
          </c:tx>
          <c:spPr>
            <a:solidFill>
              <a:schemeClr val="accent1">
                <a:shade val="76000"/>
                <a:alpha val="70000"/>
              </a:schemeClr>
            </a:solidFill>
            <a:ln>
              <a:noFill/>
            </a:ln>
            <a:effectLst/>
          </c:spPr>
          <c:invertIfNegative val="0"/>
          <c:trendline>
            <c:spPr>
              <a:ln w="15875" cap="rnd">
                <a:solidFill>
                  <a:schemeClr val="accent1">
                    <a:shade val="76000"/>
                  </a:schemeClr>
                </a:solidFill>
              </a:ln>
              <a:effectLst/>
            </c:spPr>
            <c:trendlineType val="linear"/>
            <c:forward val="2"/>
            <c:dispRSqr val="0"/>
            <c:dispEq val="0"/>
          </c:trendline>
          <c:cat>
            <c:strRef>
              <c:f>'Departmental occupancy'!$A$4:$A$29</c:f>
              <c:strCache>
                <c:ptCount val="25"/>
                <c:pt idx="0">
                  <c:v>Palliative Care</c:v>
                </c:pt>
                <c:pt idx="1">
                  <c:v>Rehabilitation Unit</c:v>
                </c:pt>
                <c:pt idx="2">
                  <c:v>Long-Term Care</c:v>
                </c:pt>
                <c:pt idx="3">
                  <c:v> Psychiatry</c:v>
                </c:pt>
                <c:pt idx="4">
                  <c:v>Cardiac Surgery</c:v>
                </c:pt>
                <c:pt idx="5">
                  <c:v>Internal Medicine</c:v>
                </c:pt>
                <c:pt idx="6">
                  <c:v>General Surgery</c:v>
                </c:pt>
                <c:pt idx="7">
                  <c:v>Cardiology</c:v>
                </c:pt>
                <c:pt idx="8">
                  <c:v>Gastroenterology</c:v>
                </c:pt>
                <c:pt idx="9">
                  <c:v>Pediatrics General</c:v>
                </c:pt>
                <c:pt idx="10">
                  <c:v> Obstetrics &amp; Gynecology (O&amp;G)</c:v>
                </c:pt>
                <c:pt idx="11">
                  <c:v>Orthopedic Surgery</c:v>
                </c:pt>
                <c:pt idx="12">
                  <c:v>Infectious Diseases</c:v>
                </c:pt>
                <c:pt idx="13">
                  <c:v>Transplant Unit</c:v>
                </c:pt>
                <c:pt idx="14">
                  <c:v>Neurology</c:v>
                </c:pt>
                <c:pt idx="15">
                  <c:v>Pulmonology</c:v>
                </c:pt>
                <c:pt idx="16">
                  <c:v>Oncology</c:v>
                </c:pt>
                <c:pt idx="17">
                  <c:v>Neurosurgery</c:v>
                </c:pt>
                <c:pt idx="18">
                  <c:v>Endocrinology</c:v>
                </c:pt>
                <c:pt idx="19">
                  <c:v> Nephrology</c:v>
                </c:pt>
                <c:pt idx="20">
                  <c:v>Burn Unit</c:v>
                </c:pt>
                <c:pt idx="21">
                  <c:v>Emergency Department (ED)</c:v>
                </c:pt>
                <c:pt idx="22">
                  <c:v>Trauma Center</c:v>
                </c:pt>
                <c:pt idx="23">
                  <c:v>Neonatal ICU (NICU)</c:v>
                </c:pt>
                <c:pt idx="24">
                  <c:v> Pediatric ICU (PICU)</c:v>
                </c:pt>
              </c:strCache>
            </c:strRef>
          </c:cat>
          <c:val>
            <c:numRef>
              <c:f>'Departmental occupancy'!$B$4:$B$29</c:f>
              <c:numCache>
                <c:formatCode>0.00%</c:formatCode>
                <c:ptCount val="25"/>
                <c:pt idx="0">
                  <c:v>0.57999999999999996</c:v>
                </c:pt>
                <c:pt idx="1">
                  <c:v>0.6</c:v>
                </c:pt>
                <c:pt idx="2">
                  <c:v>0.7846153846153846</c:v>
                </c:pt>
                <c:pt idx="3">
                  <c:v>0.55000000000000004</c:v>
                </c:pt>
                <c:pt idx="4">
                  <c:v>0.61818181818181817</c:v>
                </c:pt>
                <c:pt idx="5">
                  <c:v>0.74</c:v>
                </c:pt>
                <c:pt idx="6">
                  <c:v>0.55000000000000004</c:v>
                </c:pt>
                <c:pt idx="7">
                  <c:v>0.43461538461538463</c:v>
                </c:pt>
                <c:pt idx="8">
                  <c:v>0.58181818181818179</c:v>
                </c:pt>
                <c:pt idx="9">
                  <c:v>0.45454545454545453</c:v>
                </c:pt>
                <c:pt idx="10">
                  <c:v>0.62307692307692308</c:v>
                </c:pt>
                <c:pt idx="11">
                  <c:v>0.65454545454545454</c:v>
                </c:pt>
                <c:pt idx="12">
                  <c:v>0.6</c:v>
                </c:pt>
                <c:pt idx="13">
                  <c:v>0.65</c:v>
                </c:pt>
                <c:pt idx="14">
                  <c:v>0.62083333333333335</c:v>
                </c:pt>
                <c:pt idx="15">
                  <c:v>0.65</c:v>
                </c:pt>
                <c:pt idx="16">
                  <c:v>0.43461538461538463</c:v>
                </c:pt>
                <c:pt idx="17">
                  <c:v>0.57727272727272727</c:v>
                </c:pt>
                <c:pt idx="18">
                  <c:v>0.58333333333333337</c:v>
                </c:pt>
                <c:pt idx="19">
                  <c:v>0.62</c:v>
                </c:pt>
                <c:pt idx="20">
                  <c:v>0.57499999999999996</c:v>
                </c:pt>
                <c:pt idx="21">
                  <c:v>0.47727272727272729</c:v>
                </c:pt>
                <c:pt idx="22">
                  <c:v>0.73</c:v>
                </c:pt>
                <c:pt idx="23">
                  <c:v>0.55000000000000004</c:v>
                </c:pt>
                <c:pt idx="24">
                  <c:v>0.6</c:v>
                </c:pt>
              </c:numCache>
            </c:numRef>
          </c:val>
          <c:extLst>
            <c:ext xmlns:c16="http://schemas.microsoft.com/office/drawing/2014/chart" uri="{C3380CC4-5D6E-409C-BE32-E72D297353CC}">
              <c16:uniqueId val="{00000001-9E59-1E48-8309-7DB2B74A0096}"/>
            </c:ext>
          </c:extLst>
        </c:ser>
        <c:ser>
          <c:idx val="1"/>
          <c:order val="1"/>
          <c:tx>
            <c:strRef>
              <c:f>'Departmental occupancy'!$C$3</c:f>
              <c:strCache>
                <c:ptCount val="1"/>
                <c:pt idx="0">
                  <c:v>Sum of occupancy_rate_old</c:v>
                </c:pt>
              </c:strCache>
            </c:strRef>
          </c:tx>
          <c:spPr>
            <a:solidFill>
              <a:schemeClr val="accent1">
                <a:tint val="77000"/>
                <a:alpha val="70000"/>
              </a:schemeClr>
            </a:solidFill>
            <a:ln>
              <a:noFill/>
            </a:ln>
            <a:effectLst/>
          </c:spPr>
          <c:invertIfNegative val="0"/>
          <c:trendline>
            <c:spPr>
              <a:ln w="15875" cap="rnd">
                <a:solidFill>
                  <a:schemeClr val="accent1">
                    <a:tint val="77000"/>
                  </a:schemeClr>
                </a:solidFill>
              </a:ln>
              <a:effectLst/>
            </c:spPr>
            <c:trendlineType val="linear"/>
            <c:forward val="2"/>
            <c:dispRSqr val="0"/>
            <c:dispEq val="0"/>
          </c:trendline>
          <c:cat>
            <c:strRef>
              <c:f>'Departmental occupancy'!$A$4:$A$29</c:f>
              <c:strCache>
                <c:ptCount val="25"/>
                <c:pt idx="0">
                  <c:v>Palliative Care</c:v>
                </c:pt>
                <c:pt idx="1">
                  <c:v>Rehabilitation Unit</c:v>
                </c:pt>
                <c:pt idx="2">
                  <c:v>Long-Term Care</c:v>
                </c:pt>
                <c:pt idx="3">
                  <c:v> Psychiatry</c:v>
                </c:pt>
                <c:pt idx="4">
                  <c:v>Cardiac Surgery</c:v>
                </c:pt>
                <c:pt idx="5">
                  <c:v>Internal Medicine</c:v>
                </c:pt>
                <c:pt idx="6">
                  <c:v>General Surgery</c:v>
                </c:pt>
                <c:pt idx="7">
                  <c:v>Cardiology</c:v>
                </c:pt>
                <c:pt idx="8">
                  <c:v>Gastroenterology</c:v>
                </c:pt>
                <c:pt idx="9">
                  <c:v>Pediatrics General</c:v>
                </c:pt>
                <c:pt idx="10">
                  <c:v> Obstetrics &amp; Gynecology (O&amp;G)</c:v>
                </c:pt>
                <c:pt idx="11">
                  <c:v>Orthopedic Surgery</c:v>
                </c:pt>
                <c:pt idx="12">
                  <c:v>Infectious Diseases</c:v>
                </c:pt>
                <c:pt idx="13">
                  <c:v>Transplant Unit</c:v>
                </c:pt>
                <c:pt idx="14">
                  <c:v>Neurology</c:v>
                </c:pt>
                <c:pt idx="15">
                  <c:v>Pulmonology</c:v>
                </c:pt>
                <c:pt idx="16">
                  <c:v>Oncology</c:v>
                </c:pt>
                <c:pt idx="17">
                  <c:v>Neurosurgery</c:v>
                </c:pt>
                <c:pt idx="18">
                  <c:v>Endocrinology</c:v>
                </c:pt>
                <c:pt idx="19">
                  <c:v> Nephrology</c:v>
                </c:pt>
                <c:pt idx="20">
                  <c:v>Burn Unit</c:v>
                </c:pt>
                <c:pt idx="21">
                  <c:v>Emergency Department (ED)</c:v>
                </c:pt>
                <c:pt idx="22">
                  <c:v>Trauma Center</c:v>
                </c:pt>
                <c:pt idx="23">
                  <c:v>Neonatal ICU (NICU)</c:v>
                </c:pt>
                <c:pt idx="24">
                  <c:v> Pediatric ICU (PICU)</c:v>
                </c:pt>
              </c:strCache>
            </c:strRef>
          </c:cat>
          <c:val>
            <c:numRef>
              <c:f>'Departmental occupancy'!$C$4:$C$29</c:f>
              <c:numCache>
                <c:formatCode>0.0%</c:formatCode>
                <c:ptCount val="25"/>
                <c:pt idx="0">
                  <c:v>0.66666666666666663</c:v>
                </c:pt>
                <c:pt idx="1">
                  <c:v>0.6875</c:v>
                </c:pt>
                <c:pt idx="2">
                  <c:v>0.70833333333333337</c:v>
                </c:pt>
                <c:pt idx="3">
                  <c:v>0.75</c:v>
                </c:pt>
                <c:pt idx="4">
                  <c:v>0.77777777777777779</c:v>
                </c:pt>
                <c:pt idx="5">
                  <c:v>0.79607843137254897</c:v>
                </c:pt>
                <c:pt idx="6">
                  <c:v>0.80500000000000005</c:v>
                </c:pt>
                <c:pt idx="7">
                  <c:v>0.80921052631578949</c:v>
                </c:pt>
                <c:pt idx="8">
                  <c:v>0.80952380952380953</c:v>
                </c:pt>
                <c:pt idx="9">
                  <c:v>0.81111111111111112</c:v>
                </c:pt>
                <c:pt idx="10">
                  <c:v>0.81212121212121213</c:v>
                </c:pt>
                <c:pt idx="11">
                  <c:v>0.8125</c:v>
                </c:pt>
                <c:pt idx="12">
                  <c:v>0.81372549019607843</c:v>
                </c:pt>
                <c:pt idx="13">
                  <c:v>0.81428571428571428</c:v>
                </c:pt>
                <c:pt idx="14">
                  <c:v>0.81538461538461537</c:v>
                </c:pt>
                <c:pt idx="15">
                  <c:v>0.81599999999999995</c:v>
                </c:pt>
                <c:pt idx="16">
                  <c:v>0.81645569620253167</c:v>
                </c:pt>
                <c:pt idx="17">
                  <c:v>0.82203389830508478</c:v>
                </c:pt>
                <c:pt idx="18">
                  <c:v>0.82894736842105265</c:v>
                </c:pt>
                <c:pt idx="19">
                  <c:v>0.83157894736842108</c:v>
                </c:pt>
                <c:pt idx="20">
                  <c:v>0.83333333333333337</c:v>
                </c:pt>
                <c:pt idx="21">
                  <c:v>0.83750000000000002</c:v>
                </c:pt>
                <c:pt idx="22">
                  <c:v>0.84</c:v>
                </c:pt>
                <c:pt idx="23">
                  <c:v>1.6666666666666667</c:v>
                </c:pt>
                <c:pt idx="24">
                  <c:v>1.6888888888888889</c:v>
                </c:pt>
              </c:numCache>
            </c:numRef>
          </c:val>
          <c:extLst>
            <c:ext xmlns:c16="http://schemas.microsoft.com/office/drawing/2014/chart" uri="{C3380CC4-5D6E-409C-BE32-E72D297353CC}">
              <c16:uniqueId val="{00000003-9E59-1E48-8309-7DB2B74A0096}"/>
            </c:ext>
          </c:extLst>
        </c:ser>
        <c:dLbls>
          <c:showLegendKey val="0"/>
          <c:showVal val="0"/>
          <c:showCatName val="0"/>
          <c:showSerName val="0"/>
          <c:showPercent val="0"/>
          <c:showBubbleSize val="0"/>
        </c:dLbls>
        <c:gapWidth val="80"/>
        <c:overlap val="25"/>
        <c:axId val="1626350335"/>
        <c:axId val="1573495999"/>
      </c:barChart>
      <c:catAx>
        <c:axId val="1626350335"/>
        <c:scaling>
          <c:orientation val="minMax"/>
        </c:scaling>
        <c:delete val="1"/>
        <c:axPos val="b"/>
        <c:numFmt formatCode="General" sourceLinked="1"/>
        <c:majorTickMark val="none"/>
        <c:minorTickMark val="none"/>
        <c:tickLblPos val="nextTo"/>
        <c:crossAx val="1573495999"/>
        <c:crosses val="autoZero"/>
        <c:auto val="1"/>
        <c:lblAlgn val="ctr"/>
        <c:lblOffset val="100"/>
        <c:noMultiLvlLbl val="0"/>
      </c:catAx>
      <c:valAx>
        <c:axId val="1573495999"/>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2635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https://www.pngwing.com/en/search?q=patient+doctor+relationship" TargetMode="External"/><Relationship Id="rId7" Type="http://schemas.openxmlformats.org/officeDocument/2006/relationships/chart" Target="../charts/chart7.xml"/><Relationship Id="rId12" Type="http://schemas.openxmlformats.org/officeDocument/2006/relationships/hyperlink" Target="https://www.alamy.com/stock-photo/help-editable-flat-vector.html?blackwhite=1"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4.jpeg"/><Relationship Id="rId5" Type="http://schemas.openxmlformats.org/officeDocument/2006/relationships/hyperlink" Target="https://icon-icons.com/search/icons/bed+outline+clipart" TargetMode="External"/><Relationship Id="rId10" Type="http://schemas.openxmlformats.org/officeDocument/2006/relationships/chart" Target="../charts/chart10.xml"/><Relationship Id="rId4" Type="http://schemas.openxmlformats.org/officeDocument/2006/relationships/image" Target="../media/image3.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1130300</xdr:colOff>
      <xdr:row>13</xdr:row>
      <xdr:rowOff>76200</xdr:rowOff>
    </xdr:from>
    <xdr:to>
      <xdr:col>12</xdr:col>
      <xdr:colOff>977900</xdr:colOff>
      <xdr:row>40</xdr:row>
      <xdr:rowOff>139700</xdr:rowOff>
    </xdr:to>
    <xdr:graphicFrame macro="">
      <xdr:nvGraphicFramePr>
        <xdr:cNvPr id="3" name="Chart 2">
          <a:extLst>
            <a:ext uri="{FF2B5EF4-FFF2-40B4-BE49-F238E27FC236}">
              <a16:creationId xmlns:a16="http://schemas.microsoft.com/office/drawing/2014/main" id="{EFC03568-EE5B-8587-C1E8-67A1341E4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596900</xdr:colOff>
      <xdr:row>6</xdr:row>
      <xdr:rowOff>0</xdr:rowOff>
    </xdr:from>
    <xdr:to>
      <xdr:col>8</xdr:col>
      <xdr:colOff>850900</xdr:colOff>
      <xdr:row>44</xdr:row>
      <xdr:rowOff>38100</xdr:rowOff>
    </xdr:to>
    <xdr:graphicFrame macro="">
      <xdr:nvGraphicFramePr>
        <xdr:cNvPr id="4" name="Chart 3">
          <a:extLst>
            <a:ext uri="{FF2B5EF4-FFF2-40B4-BE49-F238E27FC236}">
              <a16:creationId xmlns:a16="http://schemas.microsoft.com/office/drawing/2014/main" id="{A2797CCB-D1E6-C383-45B2-2E753C71B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1066800</xdr:colOff>
      <xdr:row>6</xdr:row>
      <xdr:rowOff>190500</xdr:rowOff>
    </xdr:from>
    <xdr:to>
      <xdr:col>8</xdr:col>
      <xdr:colOff>1346200</xdr:colOff>
      <xdr:row>38</xdr:row>
      <xdr:rowOff>152400</xdr:rowOff>
    </xdr:to>
    <xdr:graphicFrame macro="">
      <xdr:nvGraphicFramePr>
        <xdr:cNvPr id="2" name="Chart 1">
          <a:extLst>
            <a:ext uri="{FF2B5EF4-FFF2-40B4-BE49-F238E27FC236}">
              <a16:creationId xmlns:a16="http://schemas.microsoft.com/office/drawing/2014/main" id="{BCC9FAA7-C23C-28EE-8C99-B2A8E8F70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7</xdr:row>
      <xdr:rowOff>0</xdr:rowOff>
    </xdr:from>
    <xdr:to>
      <xdr:col>23</xdr:col>
      <xdr:colOff>215900</xdr:colOff>
      <xdr:row>36</xdr:row>
      <xdr:rowOff>190500</xdr:rowOff>
    </xdr:to>
    <xdr:graphicFrame macro="">
      <xdr:nvGraphicFramePr>
        <xdr:cNvPr id="3" name="Chart 2">
          <a:extLst>
            <a:ext uri="{FF2B5EF4-FFF2-40B4-BE49-F238E27FC236}">
              <a16:creationId xmlns:a16="http://schemas.microsoft.com/office/drawing/2014/main" id="{D04FC9D3-5A49-8ACD-EE33-F3E278E30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165100</xdr:colOff>
      <xdr:row>9</xdr:row>
      <xdr:rowOff>25400</xdr:rowOff>
    </xdr:from>
    <xdr:to>
      <xdr:col>15</xdr:col>
      <xdr:colOff>355600</xdr:colOff>
      <xdr:row>40</xdr:row>
      <xdr:rowOff>63500</xdr:rowOff>
    </xdr:to>
    <xdr:graphicFrame macro="">
      <xdr:nvGraphicFramePr>
        <xdr:cNvPr id="2" name="Chart 1">
          <a:extLst>
            <a:ext uri="{FF2B5EF4-FFF2-40B4-BE49-F238E27FC236}">
              <a16:creationId xmlns:a16="http://schemas.microsoft.com/office/drawing/2014/main" id="{11FD0CBC-0CE6-DDA2-A03D-10EBC4953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25400</xdr:colOff>
      <xdr:row>3</xdr:row>
      <xdr:rowOff>139700</xdr:rowOff>
    </xdr:from>
    <xdr:to>
      <xdr:col>2</xdr:col>
      <xdr:colOff>812800</xdr:colOff>
      <xdr:row>83</xdr:row>
      <xdr:rowOff>101600</xdr:rowOff>
    </xdr:to>
    <xdr:sp macro="" textlink="">
      <xdr:nvSpPr>
        <xdr:cNvPr id="13" name="Rectangle 12">
          <a:extLst>
            <a:ext uri="{FF2B5EF4-FFF2-40B4-BE49-F238E27FC236}">
              <a16:creationId xmlns:a16="http://schemas.microsoft.com/office/drawing/2014/main" id="{3A5C825E-483A-0C47-8216-B66137B62110}"/>
            </a:ext>
          </a:extLst>
        </xdr:cNvPr>
        <xdr:cNvSpPr/>
      </xdr:nvSpPr>
      <xdr:spPr>
        <a:xfrm>
          <a:off x="25400" y="749300"/>
          <a:ext cx="2438400" cy="16217900"/>
        </a:xfrm>
        <a:prstGeom prst="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25400</xdr:colOff>
      <xdr:row>0</xdr:row>
      <xdr:rowOff>0</xdr:rowOff>
    </xdr:from>
    <xdr:to>
      <xdr:col>34</xdr:col>
      <xdr:colOff>0</xdr:colOff>
      <xdr:row>3</xdr:row>
      <xdr:rowOff>139700</xdr:rowOff>
    </xdr:to>
    <xdr:sp macro="" textlink="">
      <xdr:nvSpPr>
        <xdr:cNvPr id="12" name="Rectangle 11">
          <a:extLst>
            <a:ext uri="{FF2B5EF4-FFF2-40B4-BE49-F238E27FC236}">
              <a16:creationId xmlns:a16="http://schemas.microsoft.com/office/drawing/2014/main" id="{7745EEC8-9089-1479-BAEE-86ED1D4F8128}"/>
            </a:ext>
          </a:extLst>
        </xdr:cNvPr>
        <xdr:cNvSpPr/>
      </xdr:nvSpPr>
      <xdr:spPr>
        <a:xfrm>
          <a:off x="25400" y="0"/>
          <a:ext cx="28041600" cy="74930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397933</xdr:colOff>
      <xdr:row>6</xdr:row>
      <xdr:rowOff>38100</xdr:rowOff>
    </xdr:from>
    <xdr:to>
      <xdr:col>12</xdr:col>
      <xdr:colOff>500041</xdr:colOff>
      <xdr:row>10</xdr:row>
      <xdr:rowOff>29972</xdr:rowOff>
    </xdr:to>
    <xdr:sp macro="" textlink="">
      <xdr:nvSpPr>
        <xdr:cNvPr id="2" name="Rectangle 1">
          <a:extLst>
            <a:ext uri="{FF2B5EF4-FFF2-40B4-BE49-F238E27FC236}">
              <a16:creationId xmlns:a16="http://schemas.microsoft.com/office/drawing/2014/main" id="{678C3676-5EF5-4159-67F6-C8454E40FE27}"/>
            </a:ext>
          </a:extLst>
        </xdr:cNvPr>
        <xdr:cNvSpPr/>
      </xdr:nvSpPr>
      <xdr:spPr>
        <a:xfrm>
          <a:off x="7827433" y="1257300"/>
          <a:ext cx="2578608" cy="8046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256116</xdr:colOff>
      <xdr:row>6</xdr:row>
      <xdr:rowOff>38100</xdr:rowOff>
    </xdr:from>
    <xdr:to>
      <xdr:col>18</xdr:col>
      <xdr:colOff>358224</xdr:colOff>
      <xdr:row>10</xdr:row>
      <xdr:rowOff>29972</xdr:rowOff>
    </xdr:to>
    <xdr:sp macro="" textlink="">
      <xdr:nvSpPr>
        <xdr:cNvPr id="3" name="Rectangle 2">
          <a:extLst>
            <a:ext uri="{FF2B5EF4-FFF2-40B4-BE49-F238E27FC236}">
              <a16:creationId xmlns:a16="http://schemas.microsoft.com/office/drawing/2014/main" id="{F6EA9887-97C4-2C47-8449-0CAE47942598}"/>
            </a:ext>
          </a:extLst>
        </xdr:cNvPr>
        <xdr:cNvSpPr/>
      </xdr:nvSpPr>
      <xdr:spPr>
        <a:xfrm>
          <a:off x="12638616" y="1257300"/>
          <a:ext cx="2578608" cy="8046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673100</xdr:colOff>
      <xdr:row>6</xdr:row>
      <xdr:rowOff>38100</xdr:rowOff>
    </xdr:from>
    <xdr:to>
      <xdr:col>24</xdr:col>
      <xdr:colOff>775208</xdr:colOff>
      <xdr:row>10</xdr:row>
      <xdr:rowOff>29972</xdr:rowOff>
    </xdr:to>
    <xdr:sp macro="" textlink="">
      <xdr:nvSpPr>
        <xdr:cNvPr id="4" name="Rectangle 3">
          <a:extLst>
            <a:ext uri="{FF2B5EF4-FFF2-40B4-BE49-F238E27FC236}">
              <a16:creationId xmlns:a16="http://schemas.microsoft.com/office/drawing/2014/main" id="{56B28B8B-4DA3-3945-8D5E-A03F4A332D96}"/>
            </a:ext>
          </a:extLst>
        </xdr:cNvPr>
        <xdr:cNvSpPr/>
      </xdr:nvSpPr>
      <xdr:spPr>
        <a:xfrm>
          <a:off x="18008600" y="1257300"/>
          <a:ext cx="2578608" cy="8046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38100</xdr:colOff>
      <xdr:row>0</xdr:row>
      <xdr:rowOff>63500</xdr:rowOff>
    </xdr:from>
    <xdr:ext cx="3175000" cy="357790"/>
    <xdr:sp macro="" textlink="">
      <xdr:nvSpPr>
        <xdr:cNvPr id="5" name="TextBox 4">
          <a:extLst>
            <a:ext uri="{FF2B5EF4-FFF2-40B4-BE49-F238E27FC236}">
              <a16:creationId xmlns:a16="http://schemas.microsoft.com/office/drawing/2014/main" id="{6344750B-A1F5-6F15-4F0B-4608191671D4}"/>
            </a:ext>
          </a:extLst>
        </xdr:cNvPr>
        <xdr:cNvSpPr txBox="1"/>
      </xdr:nvSpPr>
      <xdr:spPr>
        <a:xfrm>
          <a:off x="863600" y="63500"/>
          <a:ext cx="31750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latin typeface=""/>
            </a:rPr>
            <a:t>Kaggle</a:t>
          </a:r>
          <a:r>
            <a:rPr lang="en-US" sz="1800" b="1" baseline="0">
              <a:latin typeface=""/>
            </a:rPr>
            <a:t>  Memorial Hospital</a:t>
          </a:r>
          <a:endParaRPr lang="en-US" sz="1800" b="1">
            <a:latin typeface=""/>
          </a:endParaRPr>
        </a:p>
      </xdr:txBody>
    </xdr:sp>
    <xdr:clientData/>
  </xdr:oneCellAnchor>
  <xdr:twoCellAnchor editAs="oneCell">
    <xdr:from>
      <xdr:col>0</xdr:col>
      <xdr:colOff>241300</xdr:colOff>
      <xdr:row>0</xdr:row>
      <xdr:rowOff>50800</xdr:rowOff>
    </xdr:from>
    <xdr:to>
      <xdr:col>1</xdr:col>
      <xdr:colOff>12700</xdr:colOff>
      <xdr:row>3</xdr:row>
      <xdr:rowOff>38100</xdr:rowOff>
    </xdr:to>
    <xdr:pic>
      <xdr:nvPicPr>
        <xdr:cNvPr id="7" name="Picture 6" descr="Hospital Brand Identity Logo Design">
          <a:extLst>
            <a:ext uri="{FF2B5EF4-FFF2-40B4-BE49-F238E27FC236}">
              <a16:creationId xmlns:a16="http://schemas.microsoft.com/office/drawing/2014/main" id="{7D1B00F8-B736-009A-6FB6-0CE9D7D3B0C0}"/>
            </a:ext>
          </a:extLst>
        </xdr:cNvPr>
        <xdr:cNvPicPr>
          <a:picLocks noChangeAspect="1"/>
        </xdr:cNvPicPr>
      </xdr:nvPicPr>
      <xdr:blipFill>
        <a:blip xmlns:r="http://schemas.openxmlformats.org/officeDocument/2006/relationships" r:embed="rId1"/>
        <a:stretch>
          <a:fillRect/>
        </a:stretch>
      </xdr:blipFill>
      <xdr:spPr>
        <a:xfrm>
          <a:off x="241300" y="50800"/>
          <a:ext cx="596900" cy="596900"/>
        </a:xfrm>
        <a:prstGeom prst="rect">
          <a:avLst/>
        </a:prstGeom>
      </xdr:spPr>
    </xdr:pic>
    <xdr:clientData/>
  </xdr:twoCellAnchor>
  <xdr:oneCellAnchor>
    <xdr:from>
      <xdr:col>1</xdr:col>
      <xdr:colOff>127000</xdr:colOff>
      <xdr:row>1</xdr:row>
      <xdr:rowOff>177800</xdr:rowOff>
    </xdr:from>
    <xdr:ext cx="3175000" cy="298800"/>
    <xdr:sp macro="" textlink="">
      <xdr:nvSpPr>
        <xdr:cNvPr id="8" name="TextBox 7">
          <a:extLst>
            <a:ext uri="{FF2B5EF4-FFF2-40B4-BE49-F238E27FC236}">
              <a16:creationId xmlns:a16="http://schemas.microsoft.com/office/drawing/2014/main" id="{D18D77E3-396B-D942-AF57-3702C9BADC9A}"/>
            </a:ext>
          </a:extLst>
        </xdr:cNvPr>
        <xdr:cNvSpPr txBox="1"/>
      </xdr:nvSpPr>
      <xdr:spPr>
        <a:xfrm>
          <a:off x="952500" y="381000"/>
          <a:ext cx="317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
            </a:rPr>
            <a:t>Patient</a:t>
          </a:r>
          <a:r>
            <a:rPr lang="en-US" sz="1400" b="0" baseline="0">
              <a:latin typeface=""/>
            </a:rPr>
            <a:t> Admission Dashboard</a:t>
          </a:r>
          <a:endParaRPr lang="en-US" sz="1400" b="0">
            <a:latin typeface=""/>
          </a:endParaRPr>
        </a:p>
      </xdr:txBody>
    </xdr:sp>
    <xdr:clientData/>
  </xdr:oneCellAnchor>
  <xdr:oneCellAnchor>
    <xdr:from>
      <xdr:col>11</xdr:col>
      <xdr:colOff>431800</xdr:colOff>
      <xdr:row>7</xdr:row>
      <xdr:rowOff>0</xdr:rowOff>
    </xdr:from>
    <xdr:ext cx="2578100" cy="774700"/>
    <xdr:sp macro="" textlink="">
      <xdr:nvSpPr>
        <xdr:cNvPr id="9" name="TextBox 8">
          <a:extLst>
            <a:ext uri="{FF2B5EF4-FFF2-40B4-BE49-F238E27FC236}">
              <a16:creationId xmlns:a16="http://schemas.microsoft.com/office/drawing/2014/main" id="{DAC9DA27-086A-69F0-FD91-F768422A10FD}"/>
            </a:ext>
          </a:extLst>
        </xdr:cNvPr>
        <xdr:cNvSpPr txBox="1"/>
      </xdr:nvSpPr>
      <xdr:spPr>
        <a:xfrm rot="10800000" flipV="1">
          <a:off x="9512300" y="14224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i="0">
              <a:latin typeface="Segoe UI Light" panose="020B0502040204020203" pitchFamily="34" charset="0"/>
              <a:cs typeface="Segoe UI Light" panose="020B0502040204020203" pitchFamily="34" charset="0"/>
            </a:rPr>
            <a:t>Patients</a:t>
          </a:r>
          <a:endParaRPr lang="en-US" sz="1100" b="0" i="0">
            <a:latin typeface="Segoe UI Light" panose="020B0502040204020203" pitchFamily="34" charset="0"/>
            <a:cs typeface="Segoe UI Light" panose="020B0502040204020203" pitchFamily="34" charset="0"/>
          </a:endParaRPr>
        </a:p>
      </xdr:txBody>
    </xdr:sp>
    <xdr:clientData/>
  </xdr:oneCellAnchor>
  <xdr:oneCellAnchor>
    <xdr:from>
      <xdr:col>21</xdr:col>
      <xdr:colOff>749300</xdr:colOff>
      <xdr:row>6</xdr:row>
      <xdr:rowOff>63500</xdr:rowOff>
    </xdr:from>
    <xdr:ext cx="2578100" cy="774700"/>
    <xdr:sp macro="" textlink="">
      <xdr:nvSpPr>
        <xdr:cNvPr id="11" name="TextBox 10">
          <a:extLst>
            <a:ext uri="{FF2B5EF4-FFF2-40B4-BE49-F238E27FC236}">
              <a16:creationId xmlns:a16="http://schemas.microsoft.com/office/drawing/2014/main" id="{0C40701B-1F7D-6D43-B73C-1F191954C62E}"/>
            </a:ext>
          </a:extLst>
        </xdr:cNvPr>
        <xdr:cNvSpPr txBox="1"/>
      </xdr:nvSpPr>
      <xdr:spPr>
        <a:xfrm rot="10800000" flipV="1">
          <a:off x="18084800" y="12827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15</xdr:col>
      <xdr:colOff>190500</xdr:colOff>
      <xdr:row>6</xdr:row>
      <xdr:rowOff>76200</xdr:rowOff>
    </xdr:from>
    <xdr:ext cx="2578100" cy="774700"/>
    <xdr:sp macro="" textlink="">
      <xdr:nvSpPr>
        <xdr:cNvPr id="14" name="TextBox 13">
          <a:extLst>
            <a:ext uri="{FF2B5EF4-FFF2-40B4-BE49-F238E27FC236}">
              <a16:creationId xmlns:a16="http://schemas.microsoft.com/office/drawing/2014/main" id="{05A53FFF-8113-2C4C-8908-13CBD6986B1D}"/>
            </a:ext>
          </a:extLst>
        </xdr:cNvPr>
        <xdr:cNvSpPr txBox="1"/>
      </xdr:nvSpPr>
      <xdr:spPr>
        <a:xfrm rot="10800000" flipV="1">
          <a:off x="12573000" y="12954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10</xdr:col>
      <xdr:colOff>152400</xdr:colOff>
      <xdr:row>2</xdr:row>
      <xdr:rowOff>12700</xdr:rowOff>
    </xdr:from>
    <xdr:ext cx="2578100" cy="774700"/>
    <xdr:sp macro="" textlink="">
      <xdr:nvSpPr>
        <xdr:cNvPr id="17" name="TextBox 16">
          <a:extLst>
            <a:ext uri="{FF2B5EF4-FFF2-40B4-BE49-F238E27FC236}">
              <a16:creationId xmlns:a16="http://schemas.microsoft.com/office/drawing/2014/main" id="{237FF494-D3B7-6640-A8F5-A7C604B5D73D}"/>
            </a:ext>
          </a:extLst>
        </xdr:cNvPr>
        <xdr:cNvSpPr txBox="1"/>
      </xdr:nvSpPr>
      <xdr:spPr>
        <a:xfrm rot="10800000" flipV="1">
          <a:off x="8407400" y="4191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t>DASHBOARD</a:t>
          </a:r>
          <a:endParaRPr lang="en-US" sz="1100" b="1"/>
        </a:p>
      </xdr:txBody>
    </xdr:sp>
    <xdr:clientData/>
  </xdr:oneCellAnchor>
  <xdr:oneCellAnchor>
    <xdr:from>
      <xdr:col>18</xdr:col>
      <xdr:colOff>317500</xdr:colOff>
      <xdr:row>0</xdr:row>
      <xdr:rowOff>38100</xdr:rowOff>
    </xdr:from>
    <xdr:ext cx="2578100" cy="723900"/>
    <xdr:sp macro="" textlink="">
      <xdr:nvSpPr>
        <xdr:cNvPr id="18" name="TextBox 17">
          <a:extLst>
            <a:ext uri="{FF2B5EF4-FFF2-40B4-BE49-F238E27FC236}">
              <a16:creationId xmlns:a16="http://schemas.microsoft.com/office/drawing/2014/main" id="{3124232A-3F5D-5C4D-BB7C-9C6C018E8D93}"/>
            </a:ext>
          </a:extLst>
        </xdr:cNvPr>
        <xdr:cNvSpPr txBox="1"/>
      </xdr:nvSpPr>
      <xdr:spPr>
        <a:xfrm rot="10800000" flipV="1">
          <a:off x="15176500" y="38100"/>
          <a:ext cx="2578100" cy="723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600"/>
            <a:t>Last</a:t>
          </a:r>
          <a:r>
            <a:rPr lang="en-US" sz="1600" baseline="0"/>
            <a:t> </a:t>
          </a:r>
          <a:r>
            <a:rPr lang="en-US" sz="1600"/>
            <a:t>Update</a:t>
          </a:r>
        </a:p>
        <a:p>
          <a:r>
            <a:rPr lang="en-US" sz="1600"/>
            <a:t>Mon.</a:t>
          </a:r>
          <a:r>
            <a:rPr lang="en-US" sz="1600" baseline="0"/>
            <a:t> 17 Nov. 2025</a:t>
          </a:r>
          <a:endParaRPr lang="en-US" sz="1100"/>
        </a:p>
      </xdr:txBody>
    </xdr:sp>
    <xdr:clientData/>
  </xdr:oneCellAnchor>
  <xdr:twoCellAnchor>
    <xdr:from>
      <xdr:col>18</xdr:col>
      <xdr:colOff>342900</xdr:colOff>
      <xdr:row>0</xdr:row>
      <xdr:rowOff>25400</xdr:rowOff>
    </xdr:from>
    <xdr:to>
      <xdr:col>18</xdr:col>
      <xdr:colOff>342900</xdr:colOff>
      <xdr:row>3</xdr:row>
      <xdr:rowOff>88900</xdr:rowOff>
    </xdr:to>
    <xdr:cxnSp macro="">
      <xdr:nvCxnSpPr>
        <xdr:cNvPr id="20" name="Straight Connector 19">
          <a:extLst>
            <a:ext uri="{FF2B5EF4-FFF2-40B4-BE49-F238E27FC236}">
              <a16:creationId xmlns:a16="http://schemas.microsoft.com/office/drawing/2014/main" id="{CD6E4853-589F-189F-BED3-9B59749C5C46}"/>
            </a:ext>
          </a:extLst>
        </xdr:cNvPr>
        <xdr:cNvCxnSpPr/>
      </xdr:nvCxnSpPr>
      <xdr:spPr>
        <a:xfrm>
          <a:off x="15201900" y="25400"/>
          <a:ext cx="0" cy="673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698500</xdr:colOff>
      <xdr:row>8</xdr:row>
      <xdr:rowOff>127000</xdr:rowOff>
    </xdr:from>
    <xdr:ext cx="2578100" cy="774700"/>
    <xdr:sp macro="" textlink="">
      <xdr:nvSpPr>
        <xdr:cNvPr id="23" name="TextBox 22">
          <a:extLst>
            <a:ext uri="{FF2B5EF4-FFF2-40B4-BE49-F238E27FC236}">
              <a16:creationId xmlns:a16="http://schemas.microsoft.com/office/drawing/2014/main" id="{8D46E69D-2716-2C4F-B6E3-7406C1CEB894}"/>
            </a:ext>
          </a:extLst>
        </xdr:cNvPr>
        <xdr:cNvSpPr txBox="1"/>
      </xdr:nvSpPr>
      <xdr:spPr>
        <a:xfrm rot="10800000" flipV="1">
          <a:off x="8128000" y="17526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tx1">
                  <a:lumMod val="50000"/>
                  <a:lumOff val="50000"/>
                </a:schemeClr>
              </a:solidFill>
            </a:rPr>
            <a:t>Total </a:t>
          </a:r>
          <a:r>
            <a:rPr lang="en-US" sz="1600" baseline="0">
              <a:solidFill>
                <a:schemeClr val="tx1">
                  <a:lumMod val="50000"/>
                  <a:lumOff val="50000"/>
                </a:schemeClr>
              </a:solidFill>
            </a:rPr>
            <a:t>Patients Visited</a:t>
          </a:r>
          <a:endParaRPr lang="en-US" sz="1100">
            <a:solidFill>
              <a:schemeClr val="tx1">
                <a:lumMod val="50000"/>
                <a:lumOff val="50000"/>
              </a:schemeClr>
            </a:solidFill>
          </a:endParaRPr>
        </a:p>
      </xdr:txBody>
    </xdr:sp>
    <xdr:clientData/>
  </xdr:oneCellAnchor>
  <xdr:oneCellAnchor>
    <xdr:from>
      <xdr:col>10</xdr:col>
      <xdr:colOff>685800</xdr:colOff>
      <xdr:row>7</xdr:row>
      <xdr:rowOff>12700</xdr:rowOff>
    </xdr:from>
    <xdr:ext cx="838200" cy="355600"/>
    <xdr:sp macro="" textlink="Totals!B4">
      <xdr:nvSpPr>
        <xdr:cNvPr id="24" name="TextBox 23">
          <a:extLst>
            <a:ext uri="{FF2B5EF4-FFF2-40B4-BE49-F238E27FC236}">
              <a16:creationId xmlns:a16="http://schemas.microsoft.com/office/drawing/2014/main" id="{92C2A0C7-1B6D-E14C-BD6B-F8B3220D9858}"/>
            </a:ext>
          </a:extLst>
        </xdr:cNvPr>
        <xdr:cNvSpPr txBox="1"/>
      </xdr:nvSpPr>
      <xdr:spPr>
        <a:xfrm rot="10800000" flipV="1">
          <a:off x="8940800" y="1435100"/>
          <a:ext cx="83820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F746ED9-D18A-D84C-B6AE-CAB24A00EF44}" type="TxLink">
            <a:rPr lang="en-US" sz="2000" b="0" i="0" u="none" strike="noStrike">
              <a:solidFill>
                <a:srgbClr val="000000"/>
              </a:solidFill>
              <a:latin typeface="Aptos Narrow"/>
            </a:rPr>
            <a:t>3269</a:t>
          </a:fld>
          <a:endParaRPr lang="en-US" sz="1800">
            <a:solidFill>
              <a:schemeClr val="tx1">
                <a:lumMod val="50000"/>
                <a:lumOff val="50000"/>
              </a:schemeClr>
            </a:solidFill>
          </a:endParaRPr>
        </a:p>
      </xdr:txBody>
    </xdr:sp>
    <xdr:clientData/>
  </xdr:oneCellAnchor>
  <xdr:oneCellAnchor>
    <xdr:from>
      <xdr:col>10</xdr:col>
      <xdr:colOff>800100</xdr:colOff>
      <xdr:row>6</xdr:row>
      <xdr:rowOff>0</xdr:rowOff>
    </xdr:from>
    <xdr:ext cx="584200" cy="304800"/>
    <xdr:sp macro="" textlink="">
      <xdr:nvSpPr>
        <xdr:cNvPr id="25" name="TextBox 24">
          <a:extLst>
            <a:ext uri="{FF2B5EF4-FFF2-40B4-BE49-F238E27FC236}">
              <a16:creationId xmlns:a16="http://schemas.microsoft.com/office/drawing/2014/main" id="{43A24C73-8E00-3044-8604-C9A7EA216D4C}"/>
            </a:ext>
          </a:extLst>
        </xdr:cNvPr>
        <xdr:cNvSpPr txBox="1"/>
      </xdr:nvSpPr>
      <xdr:spPr>
        <a:xfrm rot="10800000" flipV="1">
          <a:off x="9055100" y="1219200"/>
          <a:ext cx="5842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Calibri" panose="020F0502020204030204" pitchFamily="34" charset="0"/>
              <a:cs typeface="Calibri" panose="020F0502020204030204" pitchFamily="34" charset="0"/>
            </a:rPr>
            <a:t>New</a:t>
          </a:r>
          <a:endParaRPr lang="en-US" sz="1000">
            <a:latin typeface="Calibri" panose="020F0502020204030204" pitchFamily="34" charset="0"/>
            <a:cs typeface="Calibri" panose="020F0502020204030204" pitchFamily="34" charset="0"/>
          </a:endParaRPr>
        </a:p>
      </xdr:txBody>
    </xdr:sp>
    <xdr:clientData/>
  </xdr:oneCellAnchor>
  <xdr:oneCellAnchor>
    <xdr:from>
      <xdr:col>10</xdr:col>
      <xdr:colOff>50800</xdr:colOff>
      <xdr:row>7</xdr:row>
      <xdr:rowOff>0</xdr:rowOff>
    </xdr:from>
    <xdr:ext cx="838200" cy="355600"/>
    <xdr:sp macro="" textlink="Totals!B5">
      <xdr:nvSpPr>
        <xdr:cNvPr id="26" name="TextBox 25">
          <a:extLst>
            <a:ext uri="{FF2B5EF4-FFF2-40B4-BE49-F238E27FC236}">
              <a16:creationId xmlns:a16="http://schemas.microsoft.com/office/drawing/2014/main" id="{7D088994-0165-6348-B167-B6D6B74D7E07}"/>
            </a:ext>
          </a:extLst>
        </xdr:cNvPr>
        <xdr:cNvSpPr txBox="1"/>
      </xdr:nvSpPr>
      <xdr:spPr>
        <a:xfrm rot="10800000" flipV="1">
          <a:off x="8305800" y="1422400"/>
          <a:ext cx="83820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7B62110-0A03-DE48-8102-88CEA6C08C06}" type="TxLink">
            <a:rPr lang="en-US" sz="2000" b="0" i="0" u="none" strike="noStrike">
              <a:solidFill>
                <a:srgbClr val="000000"/>
              </a:solidFill>
              <a:latin typeface="Aptos Narrow"/>
            </a:rPr>
            <a:t>2758</a:t>
          </a:fld>
          <a:endParaRPr lang="en-US" sz="3200">
            <a:solidFill>
              <a:schemeClr val="tx1">
                <a:lumMod val="50000"/>
                <a:lumOff val="50000"/>
              </a:schemeClr>
            </a:solidFill>
          </a:endParaRPr>
        </a:p>
      </xdr:txBody>
    </xdr:sp>
    <xdr:clientData/>
  </xdr:oneCellAnchor>
  <xdr:oneCellAnchor>
    <xdr:from>
      <xdr:col>10</xdr:col>
      <xdr:colOff>152400</xdr:colOff>
      <xdr:row>6</xdr:row>
      <xdr:rowOff>0</xdr:rowOff>
    </xdr:from>
    <xdr:ext cx="584200" cy="304800"/>
    <xdr:sp macro="" textlink="">
      <xdr:nvSpPr>
        <xdr:cNvPr id="27" name="TextBox 26">
          <a:extLst>
            <a:ext uri="{FF2B5EF4-FFF2-40B4-BE49-F238E27FC236}">
              <a16:creationId xmlns:a16="http://schemas.microsoft.com/office/drawing/2014/main" id="{0007B245-235F-514E-8EE9-03DBBDD70852}"/>
            </a:ext>
          </a:extLst>
        </xdr:cNvPr>
        <xdr:cNvSpPr txBox="1"/>
      </xdr:nvSpPr>
      <xdr:spPr>
        <a:xfrm rot="10800000" flipV="1">
          <a:off x="8407400" y="1219200"/>
          <a:ext cx="5842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Calibri" panose="020F0502020204030204" pitchFamily="34" charset="0"/>
              <a:cs typeface="Calibri" panose="020F0502020204030204" pitchFamily="34" charset="0"/>
            </a:rPr>
            <a:t>Old</a:t>
          </a:r>
          <a:endParaRPr lang="en-US" sz="1000">
            <a:latin typeface="Calibri" panose="020F0502020204030204" pitchFamily="34" charset="0"/>
            <a:cs typeface="Calibri" panose="020F0502020204030204" pitchFamily="34" charset="0"/>
          </a:endParaRPr>
        </a:p>
      </xdr:txBody>
    </xdr:sp>
    <xdr:clientData/>
  </xdr:oneCellAnchor>
  <xdr:twoCellAnchor>
    <xdr:from>
      <xdr:col>10</xdr:col>
      <xdr:colOff>711200</xdr:colOff>
      <xdr:row>6</xdr:row>
      <xdr:rowOff>50800</xdr:rowOff>
    </xdr:from>
    <xdr:to>
      <xdr:col>10</xdr:col>
      <xdr:colOff>711200</xdr:colOff>
      <xdr:row>8</xdr:row>
      <xdr:rowOff>114300</xdr:rowOff>
    </xdr:to>
    <xdr:cxnSp macro="">
      <xdr:nvCxnSpPr>
        <xdr:cNvPr id="28" name="Straight Connector 27">
          <a:extLst>
            <a:ext uri="{FF2B5EF4-FFF2-40B4-BE49-F238E27FC236}">
              <a16:creationId xmlns:a16="http://schemas.microsoft.com/office/drawing/2014/main" id="{9A08232F-FF1B-D747-8D1A-CDC41077F2BE}"/>
            </a:ext>
          </a:extLst>
        </xdr:cNvPr>
        <xdr:cNvCxnSpPr/>
      </xdr:nvCxnSpPr>
      <xdr:spPr>
        <a:xfrm>
          <a:off x="8966200" y="1270000"/>
          <a:ext cx="0" cy="469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711200</xdr:colOff>
      <xdr:row>8</xdr:row>
      <xdr:rowOff>127000</xdr:rowOff>
    </xdr:from>
    <xdr:ext cx="2578100" cy="774700"/>
    <xdr:sp macro="" textlink="">
      <xdr:nvSpPr>
        <xdr:cNvPr id="30" name="TextBox 29">
          <a:extLst>
            <a:ext uri="{FF2B5EF4-FFF2-40B4-BE49-F238E27FC236}">
              <a16:creationId xmlns:a16="http://schemas.microsoft.com/office/drawing/2014/main" id="{63AB49D7-4040-CA45-8E2A-31ADF53F86D9}"/>
            </a:ext>
          </a:extLst>
        </xdr:cNvPr>
        <xdr:cNvSpPr txBox="1"/>
      </xdr:nvSpPr>
      <xdr:spPr>
        <a:xfrm rot="10800000" flipV="1">
          <a:off x="13093700" y="17526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tx1">
                  <a:lumMod val="50000"/>
                  <a:lumOff val="50000"/>
                </a:schemeClr>
              </a:solidFill>
            </a:rPr>
            <a:t>Total </a:t>
          </a:r>
          <a:r>
            <a:rPr lang="en-US" sz="1600" baseline="0">
              <a:solidFill>
                <a:schemeClr val="tx1">
                  <a:lumMod val="50000"/>
                  <a:lumOff val="50000"/>
                </a:schemeClr>
              </a:solidFill>
            </a:rPr>
            <a:t>Nurses Available</a:t>
          </a:r>
          <a:endParaRPr lang="en-US" sz="1100">
            <a:solidFill>
              <a:schemeClr val="tx1">
                <a:lumMod val="50000"/>
                <a:lumOff val="50000"/>
              </a:schemeClr>
            </a:solidFill>
          </a:endParaRPr>
        </a:p>
      </xdr:txBody>
    </xdr:sp>
    <xdr:clientData/>
  </xdr:oneCellAnchor>
  <xdr:oneCellAnchor>
    <xdr:from>
      <xdr:col>17</xdr:col>
      <xdr:colOff>393700</xdr:colOff>
      <xdr:row>7</xdr:row>
      <xdr:rowOff>76200</xdr:rowOff>
    </xdr:from>
    <xdr:ext cx="2578100" cy="774700"/>
    <xdr:sp macro="" textlink="">
      <xdr:nvSpPr>
        <xdr:cNvPr id="31" name="TextBox 30">
          <a:extLst>
            <a:ext uri="{FF2B5EF4-FFF2-40B4-BE49-F238E27FC236}">
              <a16:creationId xmlns:a16="http://schemas.microsoft.com/office/drawing/2014/main" id="{E74FF1A5-655F-B44B-AA9B-514D97329B36}"/>
            </a:ext>
          </a:extLst>
        </xdr:cNvPr>
        <xdr:cNvSpPr txBox="1"/>
      </xdr:nvSpPr>
      <xdr:spPr>
        <a:xfrm rot="10800000" flipV="1">
          <a:off x="14427200" y="14986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aseline="0">
              <a:solidFill>
                <a:schemeClr val="tx1">
                  <a:lumMod val="50000"/>
                  <a:lumOff val="50000"/>
                </a:schemeClr>
              </a:solidFill>
            </a:rPr>
            <a:t>Nurses</a:t>
          </a:r>
          <a:endParaRPr lang="en-US" sz="1100">
            <a:solidFill>
              <a:schemeClr val="tx1">
                <a:lumMod val="50000"/>
                <a:lumOff val="50000"/>
              </a:schemeClr>
            </a:solidFill>
          </a:endParaRPr>
        </a:p>
      </xdr:txBody>
    </xdr:sp>
    <xdr:clientData/>
  </xdr:oneCellAnchor>
  <xdr:oneCellAnchor>
    <xdr:from>
      <xdr:col>16</xdr:col>
      <xdr:colOff>609600</xdr:colOff>
      <xdr:row>7</xdr:row>
      <xdr:rowOff>38100</xdr:rowOff>
    </xdr:from>
    <xdr:ext cx="838200" cy="355600"/>
    <xdr:sp macro="" textlink="Totals!B36">
      <xdr:nvSpPr>
        <xdr:cNvPr id="32" name="TextBox 31">
          <a:extLst>
            <a:ext uri="{FF2B5EF4-FFF2-40B4-BE49-F238E27FC236}">
              <a16:creationId xmlns:a16="http://schemas.microsoft.com/office/drawing/2014/main" id="{C7D149B8-F61D-C243-A9D4-A6BAAE8D0A06}"/>
            </a:ext>
          </a:extLst>
        </xdr:cNvPr>
        <xdr:cNvSpPr txBox="1"/>
      </xdr:nvSpPr>
      <xdr:spPr>
        <a:xfrm rot="10800000" flipV="1">
          <a:off x="13817600" y="1460500"/>
          <a:ext cx="83820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B33626B-C276-DB41-8469-1D2EE65B2F0A}" type="TxLink">
            <a:rPr lang="en-US" sz="2000" b="0" i="0" u="none" strike="noStrike">
              <a:solidFill>
                <a:srgbClr val="000000"/>
              </a:solidFill>
              <a:latin typeface="Aptos Narrow"/>
            </a:rPr>
            <a:t>2470</a:t>
          </a:fld>
          <a:endParaRPr lang="en-US" sz="3200">
            <a:solidFill>
              <a:schemeClr val="tx1">
                <a:lumMod val="50000"/>
                <a:lumOff val="50000"/>
              </a:schemeClr>
            </a:solidFill>
          </a:endParaRPr>
        </a:p>
      </xdr:txBody>
    </xdr:sp>
    <xdr:clientData/>
  </xdr:oneCellAnchor>
  <xdr:oneCellAnchor>
    <xdr:from>
      <xdr:col>15</xdr:col>
      <xdr:colOff>698500</xdr:colOff>
      <xdr:row>7</xdr:row>
      <xdr:rowOff>38100</xdr:rowOff>
    </xdr:from>
    <xdr:ext cx="838200" cy="355600"/>
    <xdr:sp macro="" textlink="Totals!B37">
      <xdr:nvSpPr>
        <xdr:cNvPr id="33" name="TextBox 32">
          <a:extLst>
            <a:ext uri="{FF2B5EF4-FFF2-40B4-BE49-F238E27FC236}">
              <a16:creationId xmlns:a16="http://schemas.microsoft.com/office/drawing/2014/main" id="{BE8437AB-522F-9A40-9DD6-000DBDCDA0BF}"/>
            </a:ext>
          </a:extLst>
        </xdr:cNvPr>
        <xdr:cNvSpPr txBox="1"/>
      </xdr:nvSpPr>
      <xdr:spPr>
        <a:xfrm rot="10800000" flipV="1">
          <a:off x="13081000" y="1460500"/>
          <a:ext cx="83820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534F8AB-CD11-2340-AFEE-FD2F8DBC07DA}" type="TxLink">
            <a:rPr lang="en-US" sz="2000" b="0" i="0" u="none" strike="noStrike">
              <a:solidFill>
                <a:srgbClr val="000000"/>
              </a:solidFill>
              <a:latin typeface="Aptos Narrow"/>
            </a:rPr>
            <a:t>2441</a:t>
          </a:fld>
          <a:endParaRPr lang="en-US" sz="3200">
            <a:solidFill>
              <a:schemeClr val="tx1">
                <a:lumMod val="50000"/>
                <a:lumOff val="50000"/>
              </a:schemeClr>
            </a:solidFill>
          </a:endParaRPr>
        </a:p>
      </xdr:txBody>
    </xdr:sp>
    <xdr:clientData/>
  </xdr:oneCellAnchor>
  <xdr:twoCellAnchor>
    <xdr:from>
      <xdr:col>16</xdr:col>
      <xdr:colOff>596900</xdr:colOff>
      <xdr:row>6</xdr:row>
      <xdr:rowOff>50800</xdr:rowOff>
    </xdr:from>
    <xdr:to>
      <xdr:col>16</xdr:col>
      <xdr:colOff>596900</xdr:colOff>
      <xdr:row>8</xdr:row>
      <xdr:rowOff>114300</xdr:rowOff>
    </xdr:to>
    <xdr:cxnSp macro="">
      <xdr:nvCxnSpPr>
        <xdr:cNvPr id="34" name="Straight Connector 33">
          <a:extLst>
            <a:ext uri="{FF2B5EF4-FFF2-40B4-BE49-F238E27FC236}">
              <a16:creationId xmlns:a16="http://schemas.microsoft.com/office/drawing/2014/main" id="{231CF1BA-183F-2740-95CE-943BFA4E2E30}"/>
            </a:ext>
          </a:extLst>
        </xdr:cNvPr>
        <xdr:cNvCxnSpPr/>
      </xdr:nvCxnSpPr>
      <xdr:spPr>
        <a:xfrm>
          <a:off x="13804900" y="1270000"/>
          <a:ext cx="0" cy="469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25400</xdr:colOff>
      <xdr:row>6</xdr:row>
      <xdr:rowOff>12701</xdr:rowOff>
    </xdr:from>
    <xdr:ext cx="584200" cy="304800"/>
    <xdr:sp macro="" textlink="">
      <xdr:nvSpPr>
        <xdr:cNvPr id="36" name="TextBox 35">
          <a:extLst>
            <a:ext uri="{FF2B5EF4-FFF2-40B4-BE49-F238E27FC236}">
              <a16:creationId xmlns:a16="http://schemas.microsoft.com/office/drawing/2014/main" id="{B031B5F7-6A5C-0048-9E05-E51C04CDC733}"/>
            </a:ext>
          </a:extLst>
        </xdr:cNvPr>
        <xdr:cNvSpPr txBox="1"/>
      </xdr:nvSpPr>
      <xdr:spPr>
        <a:xfrm rot="10800000" flipV="1">
          <a:off x="13233400" y="1231901"/>
          <a:ext cx="5842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Calibri" panose="020F0502020204030204" pitchFamily="34" charset="0"/>
              <a:cs typeface="Calibri" panose="020F0502020204030204" pitchFamily="34" charset="0"/>
            </a:rPr>
            <a:t>Old</a:t>
          </a:r>
          <a:endParaRPr lang="en-US" sz="1000">
            <a:latin typeface="Calibri" panose="020F0502020204030204" pitchFamily="34" charset="0"/>
            <a:cs typeface="Calibri" panose="020F0502020204030204" pitchFamily="34" charset="0"/>
          </a:endParaRPr>
        </a:p>
      </xdr:txBody>
    </xdr:sp>
    <xdr:clientData/>
  </xdr:oneCellAnchor>
  <xdr:oneCellAnchor>
    <xdr:from>
      <xdr:col>16</xdr:col>
      <xdr:colOff>749300</xdr:colOff>
      <xdr:row>6</xdr:row>
      <xdr:rowOff>12701</xdr:rowOff>
    </xdr:from>
    <xdr:ext cx="584200" cy="304800"/>
    <xdr:sp macro="" textlink="">
      <xdr:nvSpPr>
        <xdr:cNvPr id="37" name="TextBox 36">
          <a:extLst>
            <a:ext uri="{FF2B5EF4-FFF2-40B4-BE49-F238E27FC236}">
              <a16:creationId xmlns:a16="http://schemas.microsoft.com/office/drawing/2014/main" id="{CDBA29FE-C4AC-AA42-82A2-3616365F4DDA}"/>
            </a:ext>
          </a:extLst>
        </xdr:cNvPr>
        <xdr:cNvSpPr txBox="1"/>
      </xdr:nvSpPr>
      <xdr:spPr>
        <a:xfrm rot="10800000" flipV="1">
          <a:off x="13957300" y="1231901"/>
          <a:ext cx="5842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Calibri" panose="020F0502020204030204" pitchFamily="34" charset="0"/>
              <a:cs typeface="Calibri" panose="020F0502020204030204" pitchFamily="34" charset="0"/>
            </a:rPr>
            <a:t>New</a:t>
          </a:r>
          <a:endParaRPr lang="en-US" sz="1000">
            <a:latin typeface="Calibri" panose="020F0502020204030204" pitchFamily="34" charset="0"/>
            <a:cs typeface="Calibri" panose="020F0502020204030204" pitchFamily="34" charset="0"/>
          </a:endParaRPr>
        </a:p>
      </xdr:txBody>
    </xdr:sp>
    <xdr:clientData/>
  </xdr:oneCellAnchor>
  <xdr:oneCellAnchor>
    <xdr:from>
      <xdr:col>22</xdr:col>
      <xdr:colOff>495300</xdr:colOff>
      <xdr:row>8</xdr:row>
      <xdr:rowOff>88900</xdr:rowOff>
    </xdr:from>
    <xdr:ext cx="2578100" cy="774700"/>
    <xdr:sp macro="" textlink="">
      <xdr:nvSpPr>
        <xdr:cNvPr id="38" name="TextBox 37">
          <a:extLst>
            <a:ext uri="{FF2B5EF4-FFF2-40B4-BE49-F238E27FC236}">
              <a16:creationId xmlns:a16="http://schemas.microsoft.com/office/drawing/2014/main" id="{876A9995-08C2-1E4D-883B-F80956393521}"/>
            </a:ext>
          </a:extLst>
        </xdr:cNvPr>
        <xdr:cNvSpPr txBox="1"/>
      </xdr:nvSpPr>
      <xdr:spPr>
        <a:xfrm rot="10800000" flipV="1">
          <a:off x="18656300" y="17145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tx1">
                  <a:lumMod val="50000"/>
                  <a:lumOff val="50000"/>
                </a:schemeClr>
              </a:solidFill>
            </a:rPr>
            <a:t>Total </a:t>
          </a:r>
          <a:r>
            <a:rPr lang="en-US" sz="1600" baseline="0">
              <a:solidFill>
                <a:schemeClr val="tx1">
                  <a:lumMod val="50000"/>
                  <a:lumOff val="50000"/>
                </a:schemeClr>
              </a:solidFill>
            </a:rPr>
            <a:t>Capacity</a:t>
          </a:r>
          <a:endParaRPr lang="en-US" sz="1100">
            <a:solidFill>
              <a:schemeClr val="tx1">
                <a:lumMod val="50000"/>
                <a:lumOff val="50000"/>
              </a:schemeClr>
            </a:solidFill>
          </a:endParaRPr>
        </a:p>
      </xdr:txBody>
    </xdr:sp>
    <xdr:clientData/>
  </xdr:oneCellAnchor>
  <xdr:oneCellAnchor>
    <xdr:from>
      <xdr:col>24</xdr:col>
      <xdr:colOff>177800</xdr:colOff>
      <xdr:row>7</xdr:row>
      <xdr:rowOff>63500</xdr:rowOff>
    </xdr:from>
    <xdr:ext cx="2578100" cy="774700"/>
    <xdr:sp macro="" textlink="">
      <xdr:nvSpPr>
        <xdr:cNvPr id="39" name="TextBox 38">
          <a:extLst>
            <a:ext uri="{FF2B5EF4-FFF2-40B4-BE49-F238E27FC236}">
              <a16:creationId xmlns:a16="http://schemas.microsoft.com/office/drawing/2014/main" id="{3E893C1C-D73B-B744-A978-9ED6C69A69C1}"/>
            </a:ext>
          </a:extLst>
        </xdr:cNvPr>
        <xdr:cNvSpPr txBox="1"/>
      </xdr:nvSpPr>
      <xdr:spPr>
        <a:xfrm rot="10800000" flipV="1">
          <a:off x="19989800" y="14859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aseline="0">
              <a:solidFill>
                <a:schemeClr val="tx1">
                  <a:lumMod val="50000"/>
                  <a:lumOff val="50000"/>
                </a:schemeClr>
              </a:solidFill>
            </a:rPr>
            <a:t>Beds</a:t>
          </a:r>
          <a:endParaRPr lang="en-US" sz="1100">
            <a:solidFill>
              <a:schemeClr val="tx1">
                <a:lumMod val="50000"/>
                <a:lumOff val="50000"/>
              </a:schemeClr>
            </a:solidFill>
          </a:endParaRPr>
        </a:p>
      </xdr:txBody>
    </xdr:sp>
    <xdr:clientData/>
  </xdr:oneCellAnchor>
  <xdr:oneCellAnchor>
    <xdr:from>
      <xdr:col>22</xdr:col>
      <xdr:colOff>393700</xdr:colOff>
      <xdr:row>6</xdr:row>
      <xdr:rowOff>190500</xdr:rowOff>
    </xdr:from>
    <xdr:ext cx="838200" cy="355600"/>
    <xdr:sp macro="" textlink="Totals!F7">
      <xdr:nvSpPr>
        <xdr:cNvPr id="40" name="TextBox 39">
          <a:extLst>
            <a:ext uri="{FF2B5EF4-FFF2-40B4-BE49-F238E27FC236}">
              <a16:creationId xmlns:a16="http://schemas.microsoft.com/office/drawing/2014/main" id="{85382DC3-0E1C-E342-9FF5-ADD287CE39A0}"/>
            </a:ext>
          </a:extLst>
        </xdr:cNvPr>
        <xdr:cNvSpPr txBox="1"/>
      </xdr:nvSpPr>
      <xdr:spPr>
        <a:xfrm rot="10800000" flipV="1">
          <a:off x="18554700" y="1409700"/>
          <a:ext cx="83820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70F5060-F6E7-F14C-943B-CB00129673EC}" type="TxLink">
            <a:rPr lang="en-US" sz="2000" b="0" i="0" u="none" strike="noStrike">
              <a:solidFill>
                <a:srgbClr val="000000"/>
              </a:solidFill>
              <a:latin typeface="Aptos Narrow"/>
            </a:rPr>
            <a:t>3366</a:t>
          </a:fld>
          <a:endParaRPr lang="en-US" sz="4800">
            <a:solidFill>
              <a:schemeClr val="tx1">
                <a:lumMod val="50000"/>
                <a:lumOff val="50000"/>
              </a:schemeClr>
            </a:solidFill>
          </a:endParaRPr>
        </a:p>
      </xdr:txBody>
    </xdr:sp>
    <xdr:clientData/>
  </xdr:oneCellAnchor>
  <xdr:oneCellAnchor>
    <xdr:from>
      <xdr:col>22</xdr:col>
      <xdr:colOff>469900</xdr:colOff>
      <xdr:row>6</xdr:row>
      <xdr:rowOff>12700</xdr:rowOff>
    </xdr:from>
    <xdr:ext cx="584200" cy="304800"/>
    <xdr:sp macro="" textlink="">
      <xdr:nvSpPr>
        <xdr:cNvPr id="41" name="TextBox 40">
          <a:extLst>
            <a:ext uri="{FF2B5EF4-FFF2-40B4-BE49-F238E27FC236}">
              <a16:creationId xmlns:a16="http://schemas.microsoft.com/office/drawing/2014/main" id="{B34B5311-3B57-084F-890D-0E5CD87ECA4C}"/>
            </a:ext>
          </a:extLst>
        </xdr:cNvPr>
        <xdr:cNvSpPr txBox="1"/>
      </xdr:nvSpPr>
      <xdr:spPr>
        <a:xfrm rot="10800000" flipV="1">
          <a:off x="18630900" y="1231900"/>
          <a:ext cx="5842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Calibri" panose="020F0502020204030204" pitchFamily="34" charset="0"/>
              <a:cs typeface="Calibri" panose="020F0502020204030204" pitchFamily="34" charset="0"/>
            </a:rPr>
            <a:t>Old</a:t>
          </a:r>
          <a:endParaRPr lang="en-US" sz="1000">
            <a:latin typeface="Calibri" panose="020F0502020204030204" pitchFamily="34" charset="0"/>
            <a:cs typeface="Calibri" panose="020F0502020204030204" pitchFamily="34" charset="0"/>
          </a:endParaRPr>
        </a:p>
      </xdr:txBody>
    </xdr:sp>
    <xdr:clientData/>
  </xdr:oneCellAnchor>
  <xdr:oneCellAnchor>
    <xdr:from>
      <xdr:col>23</xdr:col>
      <xdr:colOff>330200</xdr:colOff>
      <xdr:row>6</xdr:row>
      <xdr:rowOff>12700</xdr:rowOff>
    </xdr:from>
    <xdr:ext cx="584200" cy="304800"/>
    <xdr:sp macro="" textlink="">
      <xdr:nvSpPr>
        <xdr:cNvPr id="42" name="TextBox 41">
          <a:extLst>
            <a:ext uri="{FF2B5EF4-FFF2-40B4-BE49-F238E27FC236}">
              <a16:creationId xmlns:a16="http://schemas.microsoft.com/office/drawing/2014/main" id="{C336D23A-924B-894D-B745-4B4700283451}"/>
            </a:ext>
          </a:extLst>
        </xdr:cNvPr>
        <xdr:cNvSpPr txBox="1"/>
      </xdr:nvSpPr>
      <xdr:spPr>
        <a:xfrm rot="10800000" flipV="1">
          <a:off x="19316700" y="1231900"/>
          <a:ext cx="5842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Calibri" panose="020F0502020204030204" pitchFamily="34" charset="0"/>
              <a:cs typeface="Calibri" panose="020F0502020204030204" pitchFamily="34" charset="0"/>
            </a:rPr>
            <a:t>New</a:t>
          </a:r>
          <a:endParaRPr lang="en-US" sz="1000">
            <a:latin typeface="Calibri" panose="020F0502020204030204" pitchFamily="34" charset="0"/>
            <a:cs typeface="Calibri" panose="020F0502020204030204" pitchFamily="34" charset="0"/>
          </a:endParaRPr>
        </a:p>
      </xdr:txBody>
    </xdr:sp>
    <xdr:clientData/>
  </xdr:oneCellAnchor>
  <xdr:oneCellAnchor>
    <xdr:from>
      <xdr:col>23</xdr:col>
      <xdr:colOff>292100</xdr:colOff>
      <xdr:row>6</xdr:row>
      <xdr:rowOff>177800</xdr:rowOff>
    </xdr:from>
    <xdr:ext cx="838200" cy="355600"/>
    <xdr:sp macro="" textlink="Totals!F6">
      <xdr:nvSpPr>
        <xdr:cNvPr id="43" name="TextBox 42">
          <a:extLst>
            <a:ext uri="{FF2B5EF4-FFF2-40B4-BE49-F238E27FC236}">
              <a16:creationId xmlns:a16="http://schemas.microsoft.com/office/drawing/2014/main" id="{D4CF2533-1E67-614E-A565-F6ED15037CF8}"/>
            </a:ext>
          </a:extLst>
        </xdr:cNvPr>
        <xdr:cNvSpPr txBox="1"/>
      </xdr:nvSpPr>
      <xdr:spPr>
        <a:xfrm rot="10800000" flipV="1">
          <a:off x="19278600" y="1397000"/>
          <a:ext cx="83820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A90AB0D-AD90-7146-A660-DA127F152AF2}" type="TxLink">
            <a:rPr lang="en-US" sz="2000" b="0" i="0" u="none" strike="noStrike">
              <a:solidFill>
                <a:srgbClr val="000000"/>
              </a:solidFill>
              <a:latin typeface="Aptos Narrow"/>
            </a:rPr>
            <a:t>5500</a:t>
          </a:fld>
          <a:endParaRPr lang="en-US" sz="4800">
            <a:solidFill>
              <a:schemeClr val="tx1">
                <a:lumMod val="50000"/>
                <a:lumOff val="50000"/>
              </a:schemeClr>
            </a:solidFill>
          </a:endParaRPr>
        </a:p>
      </xdr:txBody>
    </xdr:sp>
    <xdr:clientData/>
  </xdr:oneCellAnchor>
  <xdr:twoCellAnchor>
    <xdr:from>
      <xdr:col>23</xdr:col>
      <xdr:colOff>266700</xdr:colOff>
      <xdr:row>6</xdr:row>
      <xdr:rowOff>25400</xdr:rowOff>
    </xdr:from>
    <xdr:to>
      <xdr:col>23</xdr:col>
      <xdr:colOff>266700</xdr:colOff>
      <xdr:row>8</xdr:row>
      <xdr:rowOff>88900</xdr:rowOff>
    </xdr:to>
    <xdr:cxnSp macro="">
      <xdr:nvCxnSpPr>
        <xdr:cNvPr id="44" name="Straight Connector 43">
          <a:extLst>
            <a:ext uri="{FF2B5EF4-FFF2-40B4-BE49-F238E27FC236}">
              <a16:creationId xmlns:a16="http://schemas.microsoft.com/office/drawing/2014/main" id="{AF7CFB17-9C22-C648-B1F2-52431F140297}"/>
            </a:ext>
          </a:extLst>
        </xdr:cNvPr>
        <xdr:cNvCxnSpPr/>
      </xdr:nvCxnSpPr>
      <xdr:spPr>
        <a:xfrm>
          <a:off x="19253200" y="1244600"/>
          <a:ext cx="0" cy="469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431800</xdr:colOff>
      <xdr:row>7</xdr:row>
      <xdr:rowOff>0</xdr:rowOff>
    </xdr:from>
    <xdr:to>
      <xdr:col>10</xdr:col>
      <xdr:colOff>0</xdr:colOff>
      <xdr:row>8</xdr:row>
      <xdr:rowOff>190500</xdr:rowOff>
    </xdr:to>
    <xdr:pic>
      <xdr:nvPicPr>
        <xdr:cNvPr id="46" name="Picture 45" descr="Patient doctor relationship png images | PNGWing">
          <a:extLst>
            <a:ext uri="{FF2B5EF4-FFF2-40B4-BE49-F238E27FC236}">
              <a16:creationId xmlns:a16="http://schemas.microsoft.com/office/drawing/2014/main" id="{22B508E2-C67F-5FC1-8A0C-8A0B2A15D37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7861300" y="1422400"/>
          <a:ext cx="393700" cy="393700"/>
        </a:xfrm>
        <a:prstGeom prst="rect">
          <a:avLst/>
        </a:prstGeom>
      </xdr:spPr>
    </xdr:pic>
    <xdr:clientData/>
  </xdr:twoCellAnchor>
  <xdr:twoCellAnchor editAs="oneCell">
    <xdr:from>
      <xdr:col>21</xdr:col>
      <xdr:colOff>812800</xdr:colOff>
      <xdr:row>7</xdr:row>
      <xdr:rowOff>127000</xdr:rowOff>
    </xdr:from>
    <xdr:to>
      <xdr:col>22</xdr:col>
      <xdr:colOff>444500</xdr:colOff>
      <xdr:row>9</xdr:row>
      <xdr:rowOff>177800</xdr:rowOff>
    </xdr:to>
    <xdr:pic>
      <xdr:nvPicPr>
        <xdr:cNvPr id="50" name="Picture 49" descr="Bed outline clipart Icons - 2753 free Icons PNG, SVG, ICO or ICNS">
          <a:extLst>
            <a:ext uri="{FF2B5EF4-FFF2-40B4-BE49-F238E27FC236}">
              <a16:creationId xmlns:a16="http://schemas.microsoft.com/office/drawing/2014/main" id="{DA642584-FE02-0DDA-A905-E7ABC4418C5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8148300" y="1549400"/>
          <a:ext cx="457200" cy="457200"/>
        </a:xfrm>
        <a:prstGeom prst="rect">
          <a:avLst/>
        </a:prstGeom>
      </xdr:spPr>
    </xdr:pic>
    <xdr:clientData/>
  </xdr:twoCellAnchor>
  <xdr:twoCellAnchor>
    <xdr:from>
      <xdr:col>3</xdr:col>
      <xdr:colOff>88900</xdr:colOff>
      <xdr:row>11</xdr:row>
      <xdr:rowOff>50800</xdr:rowOff>
    </xdr:from>
    <xdr:to>
      <xdr:col>16</xdr:col>
      <xdr:colOff>215900</xdr:colOff>
      <xdr:row>26</xdr:row>
      <xdr:rowOff>76200</xdr:rowOff>
    </xdr:to>
    <xdr:graphicFrame macro="">
      <xdr:nvGraphicFramePr>
        <xdr:cNvPr id="51" name="Chart 50">
          <a:extLst>
            <a:ext uri="{FF2B5EF4-FFF2-40B4-BE49-F238E27FC236}">
              <a16:creationId xmlns:a16="http://schemas.microsoft.com/office/drawing/2014/main" id="{470928E9-17EC-BA4B-ACB6-52CD9B310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177800</xdr:colOff>
      <xdr:row>3</xdr:row>
      <xdr:rowOff>177800</xdr:rowOff>
    </xdr:from>
    <xdr:to>
      <xdr:col>2</xdr:col>
      <xdr:colOff>711200</xdr:colOff>
      <xdr:row>52</xdr:row>
      <xdr:rowOff>50800</xdr:rowOff>
    </xdr:to>
    <mc:AlternateContent xmlns:mc="http://schemas.openxmlformats.org/markup-compatibility/2006">
      <mc:Choice xmlns:a14="http://schemas.microsoft.com/office/drawing/2010/main" Requires="a14">
        <xdr:graphicFrame macro="">
          <xdr:nvGraphicFramePr>
            <xdr:cNvPr id="52" name="Department">
              <a:extLst>
                <a:ext uri="{FF2B5EF4-FFF2-40B4-BE49-F238E27FC236}">
                  <a16:creationId xmlns:a16="http://schemas.microsoft.com/office/drawing/2014/main" id="{37259483-47FF-86AF-61C1-6E811121BE9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77800" y="793558"/>
              <a:ext cx="2175420" cy="9930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101600</xdr:colOff>
      <xdr:row>27</xdr:row>
      <xdr:rowOff>12700</xdr:rowOff>
    </xdr:from>
    <xdr:to>
      <xdr:col>16</xdr:col>
      <xdr:colOff>177800</xdr:colOff>
      <xdr:row>52</xdr:row>
      <xdr:rowOff>25400</xdr:rowOff>
    </xdr:to>
    <xdr:graphicFrame macro="">
      <xdr:nvGraphicFramePr>
        <xdr:cNvPr id="53" name="Chart 52">
          <a:extLst>
            <a:ext uri="{FF2B5EF4-FFF2-40B4-BE49-F238E27FC236}">
              <a16:creationId xmlns:a16="http://schemas.microsoft.com/office/drawing/2014/main" id="{148F4D74-283D-8F42-92C4-C18A54C03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414800</xdr:colOff>
      <xdr:row>11</xdr:row>
      <xdr:rowOff>12</xdr:rowOff>
    </xdr:from>
    <xdr:to>
      <xdr:col>25</xdr:col>
      <xdr:colOff>381000</xdr:colOff>
      <xdr:row>22</xdr:row>
      <xdr:rowOff>25400</xdr:rowOff>
    </xdr:to>
    <xdr:graphicFrame macro="">
      <xdr:nvGraphicFramePr>
        <xdr:cNvPr id="57" name="Chart 56">
          <a:extLst>
            <a:ext uri="{FF2B5EF4-FFF2-40B4-BE49-F238E27FC236}">
              <a16:creationId xmlns:a16="http://schemas.microsoft.com/office/drawing/2014/main" id="{CF66C04E-C013-E042-93B1-B9056B1EDC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414800</xdr:colOff>
      <xdr:row>22</xdr:row>
      <xdr:rowOff>133350</xdr:rowOff>
    </xdr:from>
    <xdr:to>
      <xdr:col>25</xdr:col>
      <xdr:colOff>388078</xdr:colOff>
      <xdr:row>31</xdr:row>
      <xdr:rowOff>107950</xdr:rowOff>
    </xdr:to>
    <xdr:graphicFrame macro="">
      <xdr:nvGraphicFramePr>
        <xdr:cNvPr id="58" name="Chart 57">
          <a:extLst>
            <a:ext uri="{FF2B5EF4-FFF2-40B4-BE49-F238E27FC236}">
              <a16:creationId xmlns:a16="http://schemas.microsoft.com/office/drawing/2014/main" id="{6B3765C6-7358-AB4A-B3BA-31326A2FD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414800</xdr:colOff>
      <xdr:row>32</xdr:row>
      <xdr:rowOff>12700</xdr:rowOff>
    </xdr:from>
    <xdr:to>
      <xdr:col>25</xdr:col>
      <xdr:colOff>383719</xdr:colOff>
      <xdr:row>52</xdr:row>
      <xdr:rowOff>154940</xdr:rowOff>
    </xdr:to>
    <xdr:graphicFrame macro="">
      <xdr:nvGraphicFramePr>
        <xdr:cNvPr id="59" name="Chart 58">
          <a:extLst>
            <a:ext uri="{FF2B5EF4-FFF2-40B4-BE49-F238E27FC236}">
              <a16:creationId xmlns:a16="http://schemas.microsoft.com/office/drawing/2014/main" id="{1DE538C5-FB3F-F040-8685-38560CDCA6E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3</xdr:col>
      <xdr:colOff>266700</xdr:colOff>
      <xdr:row>6</xdr:row>
      <xdr:rowOff>76200</xdr:rowOff>
    </xdr:from>
    <xdr:ext cx="2578100" cy="774700"/>
    <xdr:sp macro="" textlink="">
      <xdr:nvSpPr>
        <xdr:cNvPr id="61" name="TextBox 60">
          <a:extLst>
            <a:ext uri="{FF2B5EF4-FFF2-40B4-BE49-F238E27FC236}">
              <a16:creationId xmlns:a16="http://schemas.microsoft.com/office/drawing/2014/main" id="{15D341FE-D270-C447-8F7D-1ABC912913A5}"/>
            </a:ext>
          </a:extLst>
        </xdr:cNvPr>
        <xdr:cNvSpPr txBox="1"/>
      </xdr:nvSpPr>
      <xdr:spPr>
        <a:xfrm rot="10800000" flipV="1">
          <a:off x="2743200" y="12954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3</xdr:col>
      <xdr:colOff>260350</xdr:colOff>
      <xdr:row>6</xdr:row>
      <xdr:rowOff>38100</xdr:rowOff>
    </xdr:from>
    <xdr:to>
      <xdr:col>6</xdr:col>
      <xdr:colOff>362458</xdr:colOff>
      <xdr:row>10</xdr:row>
      <xdr:rowOff>29972</xdr:rowOff>
    </xdr:to>
    <xdr:sp macro="" textlink="">
      <xdr:nvSpPr>
        <xdr:cNvPr id="62" name="Rectangle 61">
          <a:extLst>
            <a:ext uri="{FF2B5EF4-FFF2-40B4-BE49-F238E27FC236}">
              <a16:creationId xmlns:a16="http://schemas.microsoft.com/office/drawing/2014/main" id="{F97F2A89-F7E2-5D46-97E5-1AE0B1B3779C}"/>
            </a:ext>
          </a:extLst>
        </xdr:cNvPr>
        <xdr:cNvSpPr/>
      </xdr:nvSpPr>
      <xdr:spPr>
        <a:xfrm>
          <a:off x="2736850" y="1257300"/>
          <a:ext cx="2578608" cy="8046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273050</xdr:colOff>
      <xdr:row>7</xdr:row>
      <xdr:rowOff>38100</xdr:rowOff>
    </xdr:from>
    <xdr:ext cx="2578100" cy="774700"/>
    <xdr:sp macro="" textlink="">
      <xdr:nvSpPr>
        <xdr:cNvPr id="64" name="TextBox 63">
          <a:extLst>
            <a:ext uri="{FF2B5EF4-FFF2-40B4-BE49-F238E27FC236}">
              <a16:creationId xmlns:a16="http://schemas.microsoft.com/office/drawing/2014/main" id="{8DCE0D65-3548-D34F-A3D4-921F0A6F3A1C}"/>
            </a:ext>
          </a:extLst>
        </xdr:cNvPr>
        <xdr:cNvSpPr txBox="1"/>
      </xdr:nvSpPr>
      <xdr:spPr>
        <a:xfrm rot="10800000" flipV="1">
          <a:off x="4400550" y="14605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i="0">
              <a:latin typeface="Segoe UI Light" panose="020B0502040204020203" pitchFamily="34" charset="0"/>
              <a:cs typeface="Segoe UI Light" panose="020B0502040204020203" pitchFamily="34" charset="0"/>
            </a:rPr>
            <a:t>Patients</a:t>
          </a:r>
          <a:endParaRPr lang="en-US" sz="1100" b="0" i="0">
            <a:latin typeface="Segoe UI Light" panose="020B0502040204020203" pitchFamily="34" charset="0"/>
            <a:cs typeface="Segoe UI Light" panose="020B0502040204020203" pitchFamily="34" charset="0"/>
          </a:endParaRPr>
        </a:p>
      </xdr:txBody>
    </xdr:sp>
    <xdr:clientData/>
  </xdr:oneCellAnchor>
  <xdr:oneCellAnchor>
    <xdr:from>
      <xdr:col>3</xdr:col>
      <xdr:colOff>590550</xdr:colOff>
      <xdr:row>8</xdr:row>
      <xdr:rowOff>127000</xdr:rowOff>
    </xdr:from>
    <xdr:ext cx="2578100" cy="774700"/>
    <xdr:sp macro="" textlink="">
      <xdr:nvSpPr>
        <xdr:cNvPr id="65" name="TextBox 64">
          <a:extLst>
            <a:ext uri="{FF2B5EF4-FFF2-40B4-BE49-F238E27FC236}">
              <a16:creationId xmlns:a16="http://schemas.microsoft.com/office/drawing/2014/main" id="{A7873043-083B-BB45-A2BB-020B895B1605}"/>
            </a:ext>
          </a:extLst>
        </xdr:cNvPr>
        <xdr:cNvSpPr txBox="1"/>
      </xdr:nvSpPr>
      <xdr:spPr>
        <a:xfrm rot="10800000" flipV="1">
          <a:off x="3067050" y="1752600"/>
          <a:ext cx="2578100" cy="774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tx1">
                  <a:lumMod val="50000"/>
                  <a:lumOff val="50000"/>
                </a:schemeClr>
              </a:solidFill>
            </a:rPr>
            <a:t>Average </a:t>
          </a:r>
          <a:r>
            <a:rPr lang="en-US" sz="1600" baseline="0">
              <a:solidFill>
                <a:schemeClr val="tx1">
                  <a:lumMod val="50000"/>
                  <a:lumOff val="50000"/>
                </a:schemeClr>
              </a:solidFill>
            </a:rPr>
            <a:t>Patients Visited</a:t>
          </a:r>
          <a:endParaRPr lang="en-US" sz="1100">
            <a:solidFill>
              <a:schemeClr val="tx1">
                <a:lumMod val="50000"/>
                <a:lumOff val="50000"/>
              </a:schemeClr>
            </a:solidFill>
          </a:endParaRPr>
        </a:p>
      </xdr:txBody>
    </xdr:sp>
    <xdr:clientData/>
  </xdr:oneCellAnchor>
  <xdr:oneCellAnchor>
    <xdr:from>
      <xdr:col>4</xdr:col>
      <xdr:colOff>717550</xdr:colOff>
      <xdr:row>6</xdr:row>
      <xdr:rowOff>12700</xdr:rowOff>
    </xdr:from>
    <xdr:ext cx="584200" cy="304800"/>
    <xdr:sp macro="" textlink="">
      <xdr:nvSpPr>
        <xdr:cNvPr id="66" name="TextBox 65">
          <a:extLst>
            <a:ext uri="{FF2B5EF4-FFF2-40B4-BE49-F238E27FC236}">
              <a16:creationId xmlns:a16="http://schemas.microsoft.com/office/drawing/2014/main" id="{ACB480C5-B7B1-0043-A159-7EE29C779B54}"/>
            </a:ext>
          </a:extLst>
        </xdr:cNvPr>
        <xdr:cNvSpPr txBox="1"/>
      </xdr:nvSpPr>
      <xdr:spPr>
        <a:xfrm rot="10800000" flipV="1">
          <a:off x="4019550" y="1231900"/>
          <a:ext cx="5842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Calibri" panose="020F0502020204030204" pitchFamily="34" charset="0"/>
              <a:cs typeface="Calibri" panose="020F0502020204030204" pitchFamily="34" charset="0"/>
            </a:rPr>
            <a:t>New</a:t>
          </a:r>
          <a:endParaRPr lang="en-US" sz="1000">
            <a:latin typeface="Calibri" panose="020F0502020204030204" pitchFamily="34" charset="0"/>
            <a:cs typeface="Calibri" panose="020F0502020204030204" pitchFamily="34" charset="0"/>
          </a:endParaRPr>
        </a:p>
      </xdr:txBody>
    </xdr:sp>
    <xdr:clientData/>
  </xdr:oneCellAnchor>
  <xdr:oneCellAnchor>
    <xdr:from>
      <xdr:col>3</xdr:col>
      <xdr:colOff>806450</xdr:colOff>
      <xdr:row>7</xdr:row>
      <xdr:rowOff>12700</xdr:rowOff>
    </xdr:from>
    <xdr:ext cx="838200" cy="355600"/>
    <xdr:sp macro="" textlink="Totals!F37">
      <xdr:nvSpPr>
        <xdr:cNvPr id="67" name="TextBox 66">
          <a:extLst>
            <a:ext uri="{FF2B5EF4-FFF2-40B4-BE49-F238E27FC236}">
              <a16:creationId xmlns:a16="http://schemas.microsoft.com/office/drawing/2014/main" id="{0EC46465-1846-974A-B10D-7CB7277F0CCF}"/>
            </a:ext>
          </a:extLst>
        </xdr:cNvPr>
        <xdr:cNvSpPr txBox="1"/>
      </xdr:nvSpPr>
      <xdr:spPr>
        <a:xfrm rot="10800000" flipV="1">
          <a:off x="3282950" y="1435100"/>
          <a:ext cx="83820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27FA85B-B8A9-8044-AEFD-ECD8F6E5FF21}" type="TxLink">
            <a:rPr lang="en-US" sz="2000" b="0" i="0" u="none" strike="noStrike">
              <a:solidFill>
                <a:srgbClr val="000000"/>
              </a:solidFill>
              <a:latin typeface="Aptos Narrow"/>
            </a:rPr>
            <a:t>97</a:t>
          </a:fld>
          <a:endParaRPr lang="en-US" sz="4800">
            <a:solidFill>
              <a:schemeClr val="tx1">
                <a:lumMod val="50000"/>
                <a:lumOff val="50000"/>
              </a:schemeClr>
            </a:solidFill>
          </a:endParaRPr>
        </a:p>
      </xdr:txBody>
    </xdr:sp>
    <xdr:clientData/>
  </xdr:oneCellAnchor>
  <xdr:twoCellAnchor>
    <xdr:from>
      <xdr:col>4</xdr:col>
      <xdr:colOff>501650</xdr:colOff>
      <xdr:row>6</xdr:row>
      <xdr:rowOff>50800</xdr:rowOff>
    </xdr:from>
    <xdr:to>
      <xdr:col>4</xdr:col>
      <xdr:colOff>501650</xdr:colOff>
      <xdr:row>8</xdr:row>
      <xdr:rowOff>114300</xdr:rowOff>
    </xdr:to>
    <xdr:cxnSp macro="">
      <xdr:nvCxnSpPr>
        <xdr:cNvPr id="68" name="Straight Connector 67">
          <a:extLst>
            <a:ext uri="{FF2B5EF4-FFF2-40B4-BE49-F238E27FC236}">
              <a16:creationId xmlns:a16="http://schemas.microsoft.com/office/drawing/2014/main" id="{87533356-219D-6545-93ED-4C8984AF9AF6}"/>
            </a:ext>
          </a:extLst>
        </xdr:cNvPr>
        <xdr:cNvCxnSpPr/>
      </xdr:nvCxnSpPr>
      <xdr:spPr>
        <a:xfrm>
          <a:off x="3803650" y="1270000"/>
          <a:ext cx="0" cy="469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273050</xdr:colOff>
      <xdr:row>7</xdr:row>
      <xdr:rowOff>114300</xdr:rowOff>
    </xdr:from>
    <xdr:to>
      <xdr:col>3</xdr:col>
      <xdr:colOff>666750</xdr:colOff>
      <xdr:row>9</xdr:row>
      <xdr:rowOff>101600</xdr:rowOff>
    </xdr:to>
    <xdr:pic>
      <xdr:nvPicPr>
        <xdr:cNvPr id="69" name="Picture 68" descr="Patient doctor relationship png images | PNGWing">
          <a:extLst>
            <a:ext uri="{FF2B5EF4-FFF2-40B4-BE49-F238E27FC236}">
              <a16:creationId xmlns:a16="http://schemas.microsoft.com/office/drawing/2014/main" id="{76E5CD33-E75A-E846-940F-1D4AC6D0D0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749550" y="1536700"/>
          <a:ext cx="393700" cy="393700"/>
        </a:xfrm>
        <a:prstGeom prst="rect">
          <a:avLst/>
        </a:prstGeom>
      </xdr:spPr>
    </xdr:pic>
    <xdr:clientData/>
  </xdr:twoCellAnchor>
  <xdr:oneCellAnchor>
    <xdr:from>
      <xdr:col>4</xdr:col>
      <xdr:colOff>679450</xdr:colOff>
      <xdr:row>7</xdr:row>
      <xdr:rowOff>12700</xdr:rowOff>
    </xdr:from>
    <xdr:ext cx="838200" cy="355600"/>
    <xdr:sp macro="" textlink="Totals!F36">
      <xdr:nvSpPr>
        <xdr:cNvPr id="70" name="TextBox 69">
          <a:extLst>
            <a:ext uri="{FF2B5EF4-FFF2-40B4-BE49-F238E27FC236}">
              <a16:creationId xmlns:a16="http://schemas.microsoft.com/office/drawing/2014/main" id="{D032D7A1-FE12-344F-BCCB-ABC225FEEB5C}"/>
            </a:ext>
          </a:extLst>
        </xdr:cNvPr>
        <xdr:cNvSpPr txBox="1"/>
      </xdr:nvSpPr>
      <xdr:spPr>
        <a:xfrm rot="10800000" flipV="1">
          <a:off x="3981450" y="1435100"/>
          <a:ext cx="83820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5337E93-BB2D-F04B-80E1-BF7132B1B5F6}" type="TxLink">
            <a:rPr lang="en-US" sz="2000" b="0" i="0" u="none" strike="noStrike">
              <a:solidFill>
                <a:srgbClr val="000000"/>
              </a:solidFill>
              <a:latin typeface="Aptos Narrow"/>
            </a:rPr>
            <a:t>105</a:t>
          </a:fld>
          <a:endParaRPr lang="en-US" sz="3200">
            <a:solidFill>
              <a:schemeClr val="tx1">
                <a:lumMod val="50000"/>
                <a:lumOff val="50000"/>
              </a:schemeClr>
            </a:solidFill>
          </a:endParaRPr>
        </a:p>
      </xdr:txBody>
    </xdr:sp>
    <xdr:clientData/>
  </xdr:oneCellAnchor>
  <xdr:oneCellAnchor>
    <xdr:from>
      <xdr:col>4</xdr:col>
      <xdr:colOff>44450</xdr:colOff>
      <xdr:row>6</xdr:row>
      <xdr:rowOff>12700</xdr:rowOff>
    </xdr:from>
    <xdr:ext cx="584200" cy="304800"/>
    <xdr:sp macro="" textlink="">
      <xdr:nvSpPr>
        <xdr:cNvPr id="71" name="TextBox 70">
          <a:extLst>
            <a:ext uri="{FF2B5EF4-FFF2-40B4-BE49-F238E27FC236}">
              <a16:creationId xmlns:a16="http://schemas.microsoft.com/office/drawing/2014/main" id="{4C5D40BE-E6C0-E145-8C95-46FE1FF02DCB}"/>
            </a:ext>
          </a:extLst>
        </xdr:cNvPr>
        <xdr:cNvSpPr txBox="1"/>
      </xdr:nvSpPr>
      <xdr:spPr>
        <a:xfrm rot="10800000" flipV="1">
          <a:off x="3346450" y="1231900"/>
          <a:ext cx="5842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Calibri" panose="020F0502020204030204" pitchFamily="34" charset="0"/>
              <a:cs typeface="Calibri" panose="020F0502020204030204" pitchFamily="34" charset="0"/>
            </a:rPr>
            <a:t>Old</a:t>
          </a:r>
          <a:endParaRPr lang="en-US" sz="1000">
            <a:latin typeface="Calibri" panose="020F0502020204030204" pitchFamily="34" charset="0"/>
            <a:cs typeface="Calibri" panose="020F0502020204030204" pitchFamily="34" charset="0"/>
          </a:endParaRPr>
        </a:p>
      </xdr:txBody>
    </xdr:sp>
    <xdr:clientData/>
  </xdr:oneCellAnchor>
  <xdr:twoCellAnchor editAs="oneCell">
    <xdr:from>
      <xdr:col>15</xdr:col>
      <xdr:colOff>304800</xdr:colOff>
      <xdr:row>7</xdr:row>
      <xdr:rowOff>38100</xdr:rowOff>
    </xdr:from>
    <xdr:to>
      <xdr:col>15</xdr:col>
      <xdr:colOff>711200</xdr:colOff>
      <xdr:row>9</xdr:row>
      <xdr:rowOff>36797</xdr:rowOff>
    </xdr:to>
    <xdr:pic>
      <xdr:nvPicPr>
        <xdr:cNvPr id="73" name="Picture 72" descr="Help editable flat vector Black and White Stock Photos &amp; Images - Alamy">
          <a:extLst>
            <a:ext uri="{FF2B5EF4-FFF2-40B4-BE49-F238E27FC236}">
              <a16:creationId xmlns:a16="http://schemas.microsoft.com/office/drawing/2014/main" id="{9ED2B236-A5B3-0E57-0492-045B3982ACC6}"/>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b="6042"/>
        <a:stretch>
          <a:fillRect/>
        </a:stretch>
      </xdr:blipFill>
      <xdr:spPr>
        <a:xfrm>
          <a:off x="12687300" y="1460500"/>
          <a:ext cx="406400" cy="40509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Essiful" refreshedDate="45976.992521296299" createdVersion="8" refreshedVersion="8" minRefreshableVersion="3" recordCount="25" xr:uid="{8CBE6411-7150-4D40-9787-66F04BEF38CE}">
  <cacheSource type="worksheet">
    <worksheetSource name="Table5"/>
  </cacheSource>
  <cacheFields count="26">
    <cacheField name="Department" numFmtId="0">
      <sharedItems count="25">
        <s v="Emergency Department (ED)"/>
        <s v="Trauma Center"/>
        <s v="General Surgery"/>
        <s v="Cardiac Surgery"/>
        <s v="Neurosurgery"/>
        <s v="Orthopedic Surgery"/>
        <s v="Internal Medicine"/>
        <s v="Cardiology"/>
        <s v="Neurology"/>
        <s v="Gastroenterology"/>
        <s v="Pulmonology"/>
        <s v="Infectious Diseases"/>
        <s v="Oncology"/>
        <s v=" Nephrology"/>
        <s v="Endocrinology"/>
        <s v="Pediatrics General"/>
        <s v=" Pediatric ICU (PICU)"/>
        <s v="Neonatal ICU (NICU)"/>
        <s v=" Obstetrics &amp; Gynecology (O&amp;G)"/>
        <s v="Burn Unit"/>
        <s v="Transplant Unit"/>
        <s v="Rehabilitation Unit"/>
        <s v=" Psychiatry"/>
        <s v="Long-Term Care"/>
        <s v="Palliative Care"/>
      </sharedItems>
    </cacheField>
    <cacheField name="Total_bed_Old" numFmtId="1">
      <sharedItems containsSemiMixedTypes="0" containsString="0" containsNumber="1" containsInteger="1" minValue="40" maxValue="240"/>
    </cacheField>
    <cacheField name="Total_bed_new" numFmtId="1">
      <sharedItems containsSemiMixedTypes="0" containsString="0" containsNumber="1" containsInteger="1" minValue="70" maxValue="255"/>
    </cacheField>
    <cacheField name="Free_beds_old" numFmtId="1">
      <sharedItems containsSemiMixedTypes="0" containsString="0" containsNumber="1" containsInteger="1" minValue="7" maxValue="70"/>
    </cacheField>
    <cacheField name="Free_bed_new" numFmtId="1">
      <sharedItems containsSemiMixedTypes="0" containsString="0" containsNumber="1" containsInteger="1" minValue="28" maxValue="130"/>
    </cacheField>
    <cacheField name="ICU_beds_old" numFmtId="1">
      <sharedItems containsSemiMixedTypes="0" containsString="0" containsNumber="1" containsInteger="1" minValue="0" maxValue="60"/>
    </cacheField>
    <cacheField name="ICU_bed_new" numFmtId="1">
      <sharedItems containsSemiMixedTypes="0" containsString="0" containsNumber="1" containsInteger="1" minValue="8" maxValue="105"/>
    </cacheField>
    <cacheField name="Free_ICU_beds_old" numFmtId="1">
      <sharedItems containsSemiMixedTypes="0" containsString="0" containsNumber="1" containsInteger="1" minValue="0" maxValue="10"/>
    </cacheField>
    <cacheField name="Free_ICU_bed_new" numFmtId="1">
      <sharedItems containsSemiMixedTypes="0" containsString="0" containsNumber="1" containsInteger="1" minValue="4" maxValue="47"/>
    </cacheField>
    <cacheField name="Total_amount_of_bed_old" numFmtId="1">
      <sharedItems containsSemiMixedTypes="0" containsString="0" containsNumber="1" containsInteger="1" minValue="45" maxValue="255"/>
    </cacheField>
    <cacheField name="Total_amount_of_bed_new" numFmtId="1">
      <sharedItems containsSemiMixedTypes="0" containsString="0" containsNumber="1" containsInteger="1" minValue="160" maxValue="300"/>
    </cacheField>
    <cacheField name="staff_on_duty_old" numFmtId="1">
      <sharedItems containsSemiMixedTypes="0" containsString="0" containsNumber="1" containsInteger="1" minValue="50" maxValue="160" count="23">
        <n v="110"/>
        <n v="85"/>
        <n v="130"/>
        <n v="95"/>
        <n v="88"/>
        <n v="115"/>
        <n v="150"/>
        <n v="105"/>
        <n v="92"/>
        <n v="78"/>
        <n v="82"/>
        <n v="76"/>
        <n v="120"/>
        <n v="72"/>
        <n v="58"/>
        <n v="135"/>
        <n v="60"/>
        <n v="70"/>
        <n v="125"/>
        <n v="50"/>
        <n v="145"/>
        <n v="160"/>
        <n v="65"/>
      </sharedItems>
    </cacheField>
    <cacheField name="staff_on_duty_new" numFmtId="1">
      <sharedItems containsSemiMixedTypes="0" containsString="0" containsNumber="1" containsInteger="1" minValue="70" maxValue="135" count="7">
        <n v="100"/>
        <n v="90"/>
        <n v="135"/>
        <n v="115"/>
        <n v="110"/>
        <n v="80"/>
        <n v="70"/>
      </sharedItems>
    </cacheField>
    <cacheField name="occupied_beds_old" numFmtId="1">
      <sharedItems containsSemiMixedTypes="0" containsString="0" containsNumber="1" containsInteger="1" minValue="33" maxValue="192"/>
    </cacheField>
    <cacheField name="occupied_beds_new" numFmtId="1">
      <sharedItems containsSemiMixedTypes="0" containsString="0" containsNumber="1" containsInteger="1" minValue="41" maxValue="195"/>
    </cacheField>
    <cacheField name="occupied_ICU_beds_old" numFmtId="1">
      <sharedItems containsSemiMixedTypes="0" containsString="0" containsNumber="1" containsInteger="1" minValue="0" maxValue="50"/>
    </cacheField>
    <cacheField name="occupied_ICU_beds_new" numFmtId="1">
      <sharedItems containsSemiMixedTypes="0" containsString="0" containsNumber="1" containsInteger="1" minValue="4" maxValue="58"/>
    </cacheField>
    <cacheField name="staff_to_bed_ratio_old" numFmtId="2">
      <sharedItems containsSemiMixedTypes="0" containsString="0" containsNumber="1" minValue="0.58823529411764708" maxValue="1.3333333333333333"/>
    </cacheField>
    <cacheField name="staff_to_bed_ratio_new" numFmtId="2">
      <sharedItems containsSemiMixedTypes="0" containsString="0" containsNumber="1" minValue="0.4375" maxValue="0.45833333333333331"/>
    </cacheField>
    <cacheField name="total_occupied_bed_old" numFmtId="1">
      <sharedItems containsSemiMixedTypes="0" containsString="0" containsNumber="1" containsInteger="1" minValue="50" maxValue="203"/>
    </cacheField>
    <cacheField name="total_occupied_bed_new" numFmtId="1">
      <sharedItems containsSemiMixedTypes="0" containsString="0" containsNumber="1" containsInteger="1" minValue="92" maxValue="222"/>
    </cacheField>
    <cacheField name="occupancy_rate_old" numFmtId="164">
      <sharedItems containsSemiMixedTypes="0" containsString="0" containsNumber="1" minValue="0.66666666666666663" maxValue="1.6888888888888889"/>
    </cacheField>
    <cacheField name="occupancy_rate_new" numFmtId="10">
      <sharedItems containsSemiMixedTypes="0" containsString="0" containsNumber="1" minValue="0.43461538461538463" maxValue="0.7846153846153846"/>
    </cacheField>
    <cacheField name="Delta_capacity" numFmtId="1">
      <sharedItems containsSemiMixedTypes="0" containsString="0" containsNumber="1" containsInteger="1" minValue="20" maxValue="120"/>
    </cacheField>
    <cacheField name="staff_to_patient_ratio_old" numFmtId="2">
      <sharedItems containsSemiMixedTypes="0" containsString="0" containsNumber="1" minValue="0.7" maxValue="1.0833333333333333"/>
    </cacheField>
    <cacheField name="staff_to_patient_ratio_new" numFmtId="2">
      <sharedItems containsSemiMixedTypes="0" containsString="0" containsNumber="1" minValue="0.56372549019607843" maxValue="1.0176991150442478"/>
    </cacheField>
  </cacheFields>
  <extLst>
    <ext xmlns:x14="http://schemas.microsoft.com/office/spreadsheetml/2009/9/main" uri="{725AE2AE-9491-48be-B2B4-4EB974FC3084}">
      <x14:pivotCacheDefinition pivotCacheId="1157698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n v="140"/>
    <n v="175"/>
    <n v="22"/>
    <n v="99"/>
    <n v="20"/>
    <n v="45"/>
    <n v="4"/>
    <n v="16"/>
    <n v="160"/>
    <n v="220"/>
    <x v="0"/>
    <x v="0"/>
    <n v="118"/>
    <n v="76"/>
    <n v="16"/>
    <n v="29"/>
    <n v="0.6875"/>
    <n v="0.45454545454545453"/>
    <n v="134"/>
    <n v="105"/>
    <n v="0.83750000000000002"/>
    <n v="0.47727272727272729"/>
    <n v="60"/>
    <n v="0.82089552238805974"/>
    <n v="0.95238095238095233"/>
  </r>
  <r>
    <x v="1"/>
    <n v="100"/>
    <n v="140"/>
    <n v="15"/>
    <n v="30"/>
    <n v="25"/>
    <n v="60"/>
    <n v="5"/>
    <n v="24"/>
    <n v="125"/>
    <n v="200"/>
    <x v="1"/>
    <x v="1"/>
    <n v="85"/>
    <n v="110"/>
    <n v="20"/>
    <n v="36"/>
    <n v="0.68"/>
    <n v="0.45"/>
    <n v="105"/>
    <n v="146"/>
    <n v="0.84"/>
    <n v="0.73"/>
    <n v="75"/>
    <n v="0.80952380952380953"/>
    <n v="0.61643835616438358"/>
  </r>
  <r>
    <x v="2"/>
    <n v="180"/>
    <n v="175"/>
    <n v="35"/>
    <n v="79"/>
    <n v="20"/>
    <n v="45"/>
    <n v="4"/>
    <n v="20"/>
    <n v="200"/>
    <n v="220"/>
    <x v="2"/>
    <x v="0"/>
    <n v="145"/>
    <n v="96"/>
    <n v="16"/>
    <n v="25"/>
    <n v="0.65"/>
    <n v="0.45454545454545453"/>
    <n v="161"/>
    <n v="121"/>
    <n v="0.80500000000000005"/>
    <n v="0.55000000000000004"/>
    <n v="20"/>
    <n v="0.80745341614906829"/>
    <n v="0.82644628099173556"/>
  </r>
  <r>
    <x v="3"/>
    <n v="110"/>
    <n v="160"/>
    <n v="25"/>
    <n v="61"/>
    <n v="25"/>
    <n v="60"/>
    <n v="5"/>
    <n v="23"/>
    <n v="135"/>
    <n v="220"/>
    <x v="3"/>
    <x v="0"/>
    <n v="85"/>
    <n v="99"/>
    <n v="20"/>
    <n v="37"/>
    <n v="0.70370370370370372"/>
    <n v="0.45454545454545453"/>
    <n v="105"/>
    <n v="136"/>
    <n v="0.77777777777777779"/>
    <n v="0.61818181818181817"/>
    <n v="85"/>
    <n v="0.90476190476190477"/>
    <n v="0.73529411764705888"/>
  </r>
  <r>
    <x v="4"/>
    <n v="100"/>
    <n v="168"/>
    <n v="18"/>
    <n v="71"/>
    <n v="18"/>
    <n v="52"/>
    <n v="3"/>
    <n v="22"/>
    <n v="118"/>
    <n v="220"/>
    <x v="4"/>
    <x v="0"/>
    <n v="82"/>
    <n v="97"/>
    <n v="15"/>
    <n v="30"/>
    <n v="0.74576271186440679"/>
    <n v="0.45454545454545453"/>
    <n v="97"/>
    <n v="127"/>
    <n v="0.82203389830508478"/>
    <n v="0.57727272727272727"/>
    <n v="102"/>
    <n v="0.90721649484536082"/>
    <n v="0.78740157480314965"/>
  </r>
  <r>
    <x v="5"/>
    <n v="150"/>
    <n v="190"/>
    <n v="28"/>
    <n v="66"/>
    <n v="10"/>
    <n v="30"/>
    <n v="2"/>
    <n v="10"/>
    <n v="160"/>
    <n v="220"/>
    <x v="5"/>
    <x v="0"/>
    <n v="122"/>
    <n v="124"/>
    <n v="8"/>
    <n v="20"/>
    <n v="0.71875"/>
    <n v="0.45454545454545453"/>
    <n v="130"/>
    <n v="144"/>
    <n v="0.8125"/>
    <n v="0.65454545454545454"/>
    <n v="60"/>
    <n v="0.88461538461538458"/>
    <n v="0.69444444444444442"/>
  </r>
  <r>
    <x v="6"/>
    <n v="240"/>
    <n v="255"/>
    <n v="48"/>
    <n v="60"/>
    <n v="15"/>
    <n v="45"/>
    <n v="4"/>
    <n v="18"/>
    <n v="255"/>
    <n v="300"/>
    <x v="6"/>
    <x v="2"/>
    <n v="192"/>
    <n v="195"/>
    <n v="11"/>
    <n v="27"/>
    <n v="0.58823529411764708"/>
    <n v="0.45"/>
    <n v="203"/>
    <n v="222"/>
    <n v="0.79607843137254897"/>
    <n v="0.74"/>
    <n v="45"/>
    <n v="0.73891625615763545"/>
    <n v="0.60810810810810811"/>
  </r>
  <r>
    <x v="7"/>
    <n v="130"/>
    <n v="200"/>
    <n v="24"/>
    <n v="120"/>
    <n v="22"/>
    <n v="60"/>
    <n v="5"/>
    <n v="27"/>
    <n v="152"/>
    <n v="260"/>
    <x v="7"/>
    <x v="3"/>
    <n v="106"/>
    <n v="80"/>
    <n v="17"/>
    <n v="33"/>
    <n v="0.69078947368421051"/>
    <n v="0.44230769230769229"/>
    <n v="123"/>
    <n v="113"/>
    <n v="0.80921052631578949"/>
    <n v="0.43461538461538463"/>
    <n v="108"/>
    <n v="0.85365853658536583"/>
    <n v="1.0176991150442478"/>
  </r>
  <r>
    <x v="8"/>
    <n v="110"/>
    <n v="195"/>
    <n v="20"/>
    <n v="74"/>
    <n v="20"/>
    <n v="45"/>
    <n v="4"/>
    <n v="17"/>
    <n v="130"/>
    <n v="240"/>
    <x v="8"/>
    <x v="4"/>
    <n v="90"/>
    <n v="121"/>
    <n v="16"/>
    <n v="28"/>
    <n v="0.70769230769230773"/>
    <n v="0.45833333333333331"/>
    <n v="106"/>
    <n v="149"/>
    <n v="0.81538461538461537"/>
    <n v="0.62083333333333335"/>
    <n v="110"/>
    <n v="0.86792452830188682"/>
    <n v="0.73825503355704702"/>
  </r>
  <r>
    <x v="9"/>
    <n v="95"/>
    <n v="198"/>
    <n v="18"/>
    <n v="83"/>
    <n v="10"/>
    <n v="22"/>
    <n v="2"/>
    <n v="9"/>
    <n v="105"/>
    <n v="220"/>
    <x v="9"/>
    <x v="0"/>
    <n v="77"/>
    <n v="115"/>
    <n v="8"/>
    <n v="13"/>
    <n v="0.74285714285714288"/>
    <n v="0.45454545454545453"/>
    <n v="85"/>
    <n v="128"/>
    <n v="0.80952380952380953"/>
    <n v="0.58181818181818179"/>
    <n v="115"/>
    <n v="0.91764705882352937"/>
    <n v="0.78125"/>
  </r>
  <r>
    <x v="10"/>
    <n v="110"/>
    <n v="202"/>
    <n v="20"/>
    <n v="71"/>
    <n v="15"/>
    <n v="38"/>
    <n v="3"/>
    <n v="13"/>
    <n v="125"/>
    <n v="240"/>
    <x v="10"/>
    <x v="4"/>
    <n v="90"/>
    <n v="131"/>
    <n v="12"/>
    <n v="25"/>
    <n v="0.65600000000000003"/>
    <n v="0.45833333333333331"/>
    <n v="102"/>
    <n v="156"/>
    <n v="0.81599999999999995"/>
    <n v="0.65"/>
    <n v="115"/>
    <n v="0.80392156862745101"/>
    <n v="0.70512820512820518"/>
  </r>
  <r>
    <x v="11"/>
    <n v="90"/>
    <n v="175"/>
    <n v="16"/>
    <n v="70"/>
    <n v="12"/>
    <n v="45"/>
    <n v="3"/>
    <n v="18"/>
    <n v="102"/>
    <n v="220"/>
    <x v="11"/>
    <x v="0"/>
    <n v="74"/>
    <n v="105"/>
    <n v="9"/>
    <n v="27"/>
    <n v="0.74509803921568629"/>
    <n v="0.45454545454545453"/>
    <n v="83"/>
    <n v="132"/>
    <n v="0.81372549019607843"/>
    <n v="0.6"/>
    <n v="118"/>
    <n v="0.91566265060240959"/>
    <n v="0.75757575757575757"/>
  </r>
  <r>
    <x v="12"/>
    <n v="140"/>
    <n v="222"/>
    <n v="26"/>
    <n v="130"/>
    <n v="18"/>
    <n v="38"/>
    <n v="3"/>
    <n v="17"/>
    <n v="158"/>
    <n v="260"/>
    <x v="12"/>
    <x v="3"/>
    <n v="114"/>
    <n v="92"/>
    <n v="15"/>
    <n v="21"/>
    <n v="0.759493670886076"/>
    <n v="0.44230769230769229"/>
    <n v="129"/>
    <n v="113"/>
    <n v="0.81645569620253167"/>
    <n v="0.43461538461538463"/>
    <n v="102"/>
    <n v="0.93023255813953487"/>
    <n v="1.0176991150442478"/>
  </r>
  <r>
    <x v="13"/>
    <n v="85"/>
    <n v="178"/>
    <n v="14"/>
    <n v="68"/>
    <n v="10"/>
    <n v="22"/>
    <n v="2"/>
    <n v="8"/>
    <n v="95"/>
    <n v="200"/>
    <x v="13"/>
    <x v="1"/>
    <n v="71"/>
    <n v="110"/>
    <n v="8"/>
    <n v="14"/>
    <n v="0.75789473684210529"/>
    <n v="0.45"/>
    <n v="79"/>
    <n v="124"/>
    <n v="0.83157894736842108"/>
    <n v="0.62"/>
    <n v="105"/>
    <n v="0.91139240506329111"/>
    <n v="0.72580645161290325"/>
  </r>
  <r>
    <x v="14"/>
    <n v="70"/>
    <n v="165"/>
    <n v="12"/>
    <n v="69"/>
    <n v="6"/>
    <n v="15"/>
    <n v="1"/>
    <n v="6"/>
    <n v="76"/>
    <n v="180"/>
    <x v="14"/>
    <x v="5"/>
    <n v="58"/>
    <n v="96"/>
    <n v="5"/>
    <n v="9"/>
    <n v="0.76315789473684215"/>
    <n v="0.44444444444444442"/>
    <n v="63"/>
    <n v="105"/>
    <n v="0.82894736842105265"/>
    <n v="0.58333333333333337"/>
    <n v="104"/>
    <n v="0.92063492063492058"/>
    <n v="0.76190476190476186"/>
  </r>
  <r>
    <x v="15"/>
    <n v="170"/>
    <n v="190"/>
    <n v="32"/>
    <n v="110"/>
    <n v="10"/>
    <n v="30"/>
    <n v="2"/>
    <n v="10"/>
    <n v="180"/>
    <n v="220"/>
    <x v="15"/>
    <x v="0"/>
    <n v="138"/>
    <n v="80"/>
    <n v="8"/>
    <n v="20"/>
    <n v="0.75"/>
    <n v="0.45454545454545453"/>
    <n v="146"/>
    <n v="100"/>
    <n v="0.81111111111111112"/>
    <n v="0.45454545454545453"/>
    <n v="40"/>
    <n v="0.92465753424657537"/>
    <n v="1"/>
  </r>
  <r>
    <x v="16"/>
    <n v="45"/>
    <n v="70"/>
    <n v="7"/>
    <n v="28"/>
    <n v="45"/>
    <n v="90"/>
    <n v="7"/>
    <n v="36"/>
    <n v="45"/>
    <n v="160"/>
    <x v="16"/>
    <x v="6"/>
    <n v="38"/>
    <n v="42"/>
    <n v="38"/>
    <n v="54"/>
    <n v="1.3333333333333333"/>
    <n v="0.4375"/>
    <n v="76"/>
    <n v="96"/>
    <n v="1.6888888888888889"/>
    <n v="0.6"/>
    <n v="115"/>
    <n v="0.78947368421052633"/>
    <n v="0.72916666666666663"/>
  </r>
  <r>
    <x v="17"/>
    <n v="60"/>
    <n v="75"/>
    <n v="10"/>
    <n v="34"/>
    <n v="60"/>
    <n v="105"/>
    <n v="10"/>
    <n v="47"/>
    <n v="60"/>
    <n v="180"/>
    <x v="17"/>
    <x v="5"/>
    <n v="50"/>
    <n v="41"/>
    <n v="50"/>
    <n v="58"/>
    <n v="1.1666666666666667"/>
    <n v="0.44444444444444442"/>
    <n v="100"/>
    <n v="99"/>
    <n v="1.6666666666666667"/>
    <n v="0.55000000000000004"/>
    <n v="120"/>
    <n v="0.7"/>
    <n v="0.80808080808080807"/>
  </r>
  <r>
    <x v="18"/>
    <n v="160"/>
    <n v="230"/>
    <n v="30"/>
    <n v="87"/>
    <n v="5"/>
    <n v="30"/>
    <n v="1"/>
    <n v="11"/>
    <n v="165"/>
    <n v="260"/>
    <x v="18"/>
    <x v="3"/>
    <n v="130"/>
    <n v="143"/>
    <n v="4"/>
    <n v="19"/>
    <n v="0.75757575757575757"/>
    <n v="0.44230769230769229"/>
    <n v="134"/>
    <n v="162"/>
    <n v="0.81212121212121213"/>
    <n v="0.62307692307692308"/>
    <n v="95"/>
    <n v="0.93283582089552242"/>
    <n v="0.70987654320987659"/>
  </r>
  <r>
    <x v="19"/>
    <n v="40"/>
    <n v="85"/>
    <n v="7"/>
    <n v="36"/>
    <n v="20"/>
    <n v="75"/>
    <n v="3"/>
    <n v="32"/>
    <n v="60"/>
    <n v="160"/>
    <x v="19"/>
    <x v="6"/>
    <n v="33"/>
    <n v="49"/>
    <n v="17"/>
    <n v="43"/>
    <n v="0.83333333333333337"/>
    <n v="0.4375"/>
    <n v="50"/>
    <n v="92"/>
    <n v="0.83333333333333337"/>
    <n v="0.57499999999999996"/>
    <n v="100"/>
    <n v="1"/>
    <n v="0.76086956521739135"/>
  </r>
  <r>
    <x v="20"/>
    <n v="50"/>
    <n v="85"/>
    <n v="9"/>
    <n v="30"/>
    <n v="20"/>
    <n v="75"/>
    <n v="4"/>
    <n v="26"/>
    <n v="70"/>
    <n v="160"/>
    <x v="16"/>
    <x v="6"/>
    <n v="41"/>
    <n v="55"/>
    <n v="16"/>
    <n v="49"/>
    <n v="0.8571428571428571"/>
    <n v="0.4375"/>
    <n v="57"/>
    <n v="104"/>
    <n v="0.81428571428571428"/>
    <n v="0.65"/>
    <n v="90"/>
    <n v="1.0526315789473684"/>
    <n v="0.67307692307692313"/>
  </r>
  <r>
    <x v="21"/>
    <n v="160"/>
    <n v="205"/>
    <n v="50"/>
    <n v="82"/>
    <n v="0"/>
    <n v="15"/>
    <n v="0"/>
    <n v="6"/>
    <n v="160"/>
    <n v="220"/>
    <x v="5"/>
    <x v="0"/>
    <n v="110"/>
    <n v="123"/>
    <n v="0"/>
    <n v="9"/>
    <n v="0.71875"/>
    <n v="0.45454545454545453"/>
    <n v="110"/>
    <n v="132"/>
    <n v="0.6875"/>
    <n v="0.6"/>
    <n v="60"/>
    <n v="1.0454545454545454"/>
    <n v="0.75757575757575757"/>
  </r>
  <r>
    <x v="22"/>
    <n v="200"/>
    <n v="252"/>
    <n v="50"/>
    <n v="113"/>
    <n v="0"/>
    <n v="8"/>
    <n v="0"/>
    <n v="4"/>
    <n v="200"/>
    <n v="260"/>
    <x v="20"/>
    <x v="3"/>
    <n v="150"/>
    <n v="139"/>
    <n v="0"/>
    <n v="4"/>
    <n v="0.72499999999999998"/>
    <n v="0.44230769230769229"/>
    <n v="150"/>
    <n v="143"/>
    <n v="0.75"/>
    <n v="0.55000000000000004"/>
    <n v="60"/>
    <n v="0.96666666666666667"/>
    <n v="0.80419580419580416"/>
  </r>
  <r>
    <x v="23"/>
    <n v="240"/>
    <n v="245"/>
    <n v="70"/>
    <n v="50"/>
    <n v="0"/>
    <n v="15"/>
    <n v="0"/>
    <n v="6"/>
    <n v="240"/>
    <n v="260"/>
    <x v="21"/>
    <x v="3"/>
    <n v="170"/>
    <n v="195"/>
    <n v="0"/>
    <n v="9"/>
    <n v="0.66666666666666663"/>
    <n v="0.44230769230769229"/>
    <n v="170"/>
    <n v="204"/>
    <n v="0.70833333333333337"/>
    <n v="0.7846153846153846"/>
    <n v="20"/>
    <n v="0.94117647058823528"/>
    <n v="0.56372549019607843"/>
  </r>
  <r>
    <x v="24"/>
    <n v="90"/>
    <n v="185"/>
    <n v="30"/>
    <n v="78"/>
    <n v="0"/>
    <n v="15"/>
    <n v="0"/>
    <n v="6"/>
    <n v="90"/>
    <n v="200"/>
    <x v="22"/>
    <x v="1"/>
    <n v="60"/>
    <n v="107"/>
    <n v="0"/>
    <n v="9"/>
    <n v="0.72222222222222221"/>
    <n v="0.45"/>
    <n v="60"/>
    <n v="116"/>
    <n v="0.66666666666666663"/>
    <n v="0.57999999999999996"/>
    <n v="110"/>
    <n v="1.0833333333333333"/>
    <n v="0.775862068965517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D21B4A-22BD-A443-B5BC-A73F396ED2D8}"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9" firstHeaderRow="1" firstDataRow="1" firstDataCol="1"/>
  <pivotFields count="26">
    <pivotField axis="axisRow" showAll="0" sortType="ascending">
      <items count="26">
        <item x="13"/>
        <item x="18"/>
        <item x="16"/>
        <item x="22"/>
        <item x="19"/>
        <item x="3"/>
        <item x="7"/>
        <item x="0"/>
        <item x="14"/>
        <item x="9"/>
        <item x="2"/>
        <item x="11"/>
        <item x="6"/>
        <item x="23"/>
        <item x="17"/>
        <item x="8"/>
        <item x="4"/>
        <item x="12"/>
        <item x="5"/>
        <item x="24"/>
        <item x="15"/>
        <item x="10"/>
        <item x="21"/>
        <item x="20"/>
        <item x="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items count="24">
        <item x="19"/>
        <item x="14"/>
        <item x="16"/>
        <item x="22"/>
        <item x="17"/>
        <item x="13"/>
        <item x="11"/>
        <item x="9"/>
        <item x="10"/>
        <item x="1"/>
        <item x="4"/>
        <item x="8"/>
        <item x="3"/>
        <item x="7"/>
        <item x="0"/>
        <item x="5"/>
        <item x="12"/>
        <item x="18"/>
        <item x="2"/>
        <item x="15"/>
        <item x="20"/>
        <item x="6"/>
        <item x="21"/>
        <item t="default"/>
      </items>
    </pivotField>
    <pivotField numFmtId="1" showAll="0">
      <items count="8">
        <item x="6"/>
        <item x="5"/>
        <item x="1"/>
        <item x="0"/>
        <item x="4"/>
        <item x="3"/>
        <item x="2"/>
        <item t="default"/>
      </items>
    </pivotField>
    <pivotField numFmtId="1" showAll="0"/>
    <pivotField numFmtId="1" showAll="0"/>
    <pivotField numFmtId="1" showAll="0"/>
    <pivotField numFmtId="1" showAll="0"/>
    <pivotField numFmtId="2" showAll="0"/>
    <pivotField numFmtId="2" showAll="0"/>
    <pivotField numFmtId="1" showAll="0"/>
    <pivotField numFmtId="1" showAll="0"/>
    <pivotField numFmtId="164" showAll="0"/>
    <pivotField numFmtId="10" showAll="0"/>
    <pivotField dataField="1" numFmtId="1" showAll="0"/>
    <pivotField numFmtId="2" showAll="0"/>
    <pivotField numFmtId="2" showAll="0"/>
  </pivotFields>
  <rowFields count="1">
    <field x="0"/>
  </rowFields>
  <rowItems count="26">
    <i>
      <x v="10"/>
    </i>
    <i>
      <x v="13"/>
    </i>
    <i>
      <x v="20"/>
    </i>
    <i>
      <x v="12"/>
    </i>
    <i>
      <x v="7"/>
    </i>
    <i>
      <x v="18"/>
    </i>
    <i>
      <x v="22"/>
    </i>
    <i>
      <x v="3"/>
    </i>
    <i>
      <x v="24"/>
    </i>
    <i>
      <x v="5"/>
    </i>
    <i>
      <x v="23"/>
    </i>
    <i>
      <x v="1"/>
    </i>
    <i>
      <x v="4"/>
    </i>
    <i>
      <x v="16"/>
    </i>
    <i>
      <x v="17"/>
    </i>
    <i>
      <x v="8"/>
    </i>
    <i>
      <x/>
    </i>
    <i>
      <x v="6"/>
    </i>
    <i>
      <x v="15"/>
    </i>
    <i>
      <x v="19"/>
    </i>
    <i>
      <x v="2"/>
    </i>
    <i>
      <x v="9"/>
    </i>
    <i>
      <x v="21"/>
    </i>
    <i>
      <x v="11"/>
    </i>
    <i>
      <x v="14"/>
    </i>
    <i t="grand">
      <x/>
    </i>
  </rowItems>
  <colItems count="1">
    <i/>
  </colItems>
  <dataFields count="1">
    <dataField name="Sum of Delta_capacity" fld="23" baseField="0" baseItem="0" numFmtId="1"/>
  </dataFields>
  <chartFormats count="4">
    <chartFormat chart="1" format="45" series="1">
      <pivotArea type="data" outline="0" fieldPosition="0">
        <references count="1">
          <reference field="4294967294" count="1" selected="0">
            <x v="0"/>
          </reference>
        </references>
      </pivotArea>
    </chartFormat>
    <chartFormat chart="7" format="47" series="1">
      <pivotArea type="data" outline="0" fieldPosition="0">
        <references count="1">
          <reference field="4294967294" count="1" selected="0">
            <x v="0"/>
          </reference>
        </references>
      </pivotArea>
    </chartFormat>
    <chartFormat chart="10" format="47" series="1">
      <pivotArea type="data" outline="0" fieldPosition="0">
        <references count="1">
          <reference field="4294967294" count="1" selected="0">
            <x v="0"/>
          </reference>
        </references>
      </pivotArea>
    </chartFormat>
    <chartFormat chart="10" format="48">
      <pivotArea type="data" outline="0" fieldPosition="0">
        <references count="2">
          <reference field="4294967294" count="1" selected="0">
            <x v="0"/>
          </reference>
          <reference field="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5BBF6-CDB4-FE48-B6DD-A917E125F18B}"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29" firstHeaderRow="0" firstDataRow="1" firstDataCol="1"/>
  <pivotFields count="26">
    <pivotField axis="axisRow" showAll="0" sortType="ascending">
      <items count="26">
        <item x="13"/>
        <item x="18"/>
        <item x="16"/>
        <item x="22"/>
        <item x="19"/>
        <item x="3"/>
        <item x="7"/>
        <item x="0"/>
        <item x="14"/>
        <item x="9"/>
        <item x="2"/>
        <item x="11"/>
        <item x="6"/>
        <item x="23"/>
        <item x="17"/>
        <item x="8"/>
        <item x="4"/>
        <item x="12"/>
        <item x="5"/>
        <item x="24"/>
        <item x="15"/>
        <item x="10"/>
        <item x="21"/>
        <item x="20"/>
        <item x="1"/>
        <item t="default"/>
      </items>
      <autoSortScope>
        <pivotArea dataOnly="0" outline="0" fieldPosition="0">
          <references count="1">
            <reference field="4294967294" count="1" selected="0">
              <x v="1"/>
            </reference>
          </references>
        </pivotArea>
      </autoSortScope>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2" showAll="0"/>
    <pivotField dataField="1" numFmtId="2" showAll="0"/>
    <pivotField numFmtId="1" showAll="0"/>
    <pivotField numFmtId="1" showAll="0"/>
    <pivotField numFmtId="164" showAll="0"/>
    <pivotField numFmtId="10" showAll="0"/>
    <pivotField numFmtId="1" showAll="0"/>
    <pivotField numFmtId="2" showAll="0"/>
    <pivotField numFmtId="2" showAll="0"/>
  </pivotFields>
  <rowFields count="1">
    <field x="0"/>
  </rowFields>
  <rowItems count="26">
    <i>
      <x v="12"/>
    </i>
    <i>
      <x v="10"/>
    </i>
    <i>
      <x v="21"/>
    </i>
    <i>
      <x v="13"/>
    </i>
    <i>
      <x v="24"/>
    </i>
    <i>
      <x v="7"/>
    </i>
    <i>
      <x v="6"/>
    </i>
    <i>
      <x v="5"/>
    </i>
    <i>
      <x v="15"/>
    </i>
    <i>
      <x v="22"/>
    </i>
    <i>
      <x v="18"/>
    </i>
    <i>
      <x v="19"/>
    </i>
    <i>
      <x v="3"/>
    </i>
    <i>
      <x v="9"/>
    </i>
    <i>
      <x v="11"/>
    </i>
    <i>
      <x v="16"/>
    </i>
    <i>
      <x v="20"/>
    </i>
    <i>
      <x v="1"/>
    </i>
    <i>
      <x/>
    </i>
    <i>
      <x v="17"/>
    </i>
    <i>
      <x v="8"/>
    </i>
    <i>
      <x v="4"/>
    </i>
    <i>
      <x v="23"/>
    </i>
    <i>
      <x v="14"/>
    </i>
    <i>
      <x v="2"/>
    </i>
    <i t="grand">
      <x/>
    </i>
  </rowItems>
  <colFields count="1">
    <field x="-2"/>
  </colFields>
  <colItems count="2">
    <i>
      <x/>
    </i>
    <i i="1">
      <x v="1"/>
    </i>
  </colItems>
  <dataFields count="2">
    <dataField name="Sum of staff_to_bed_ratio_new" fld="18" baseField="0" baseItem="0" numFmtId="2"/>
    <dataField name="Sum of staff_to_bed_ratio_old" fld="17" baseField="0" baseItem="0" numFmtId="2"/>
  </dataFields>
  <chartFormats count="9">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0"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4A4921-E11A-B14A-B238-CAF3D84B9D21}"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29" firstHeaderRow="0" firstDataRow="1" firstDataCol="1"/>
  <pivotFields count="26">
    <pivotField axis="axisRow" showAll="0" sortType="ascending">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dataField="1"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 numFmtId="2" showAll="0"/>
    <pivotField numFmtId="1" showAll="0"/>
    <pivotField numFmtId="1" showAll="0"/>
    <pivotField numFmtId="164" showAll="0"/>
    <pivotField numFmtId="10" showAll="0"/>
    <pivotField numFmtId="1" showAll="0"/>
    <pivotField numFmtId="2" showAll="0"/>
    <pivotField numFmtId="2"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ICU_bed_new" fld="6" baseField="0" baseItem="0" numFmtId="1"/>
    <dataField name="Sum of ICU_beds_old" fld="5" baseField="0" baseItem="0" numFmtId="1"/>
  </dataFields>
  <chartFormats count="5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0" format="19" series="1">
      <pivotArea type="data" outline="0" fieldPosition="0">
        <references count="2">
          <reference field="4294967294" count="1" selected="0">
            <x v="0"/>
          </reference>
          <reference field="0" count="1" selected="0">
            <x v="19"/>
          </reference>
        </references>
      </pivotArea>
    </chartFormat>
    <chartFormat chart="0" format="20" series="1">
      <pivotArea type="data" outline="0" fieldPosition="0">
        <references count="2">
          <reference field="4294967294" count="1" selected="0">
            <x v="0"/>
          </reference>
          <reference field="0" count="1" selected="0">
            <x v="20"/>
          </reference>
        </references>
      </pivotArea>
    </chartFormat>
    <chartFormat chart="0" format="21" series="1">
      <pivotArea type="data" outline="0" fieldPosition="0">
        <references count="2">
          <reference field="4294967294" count="1" selected="0">
            <x v="0"/>
          </reference>
          <reference field="0" count="1" selected="0">
            <x v="21"/>
          </reference>
        </references>
      </pivotArea>
    </chartFormat>
    <chartFormat chart="0" format="22" series="1">
      <pivotArea type="data" outline="0" fieldPosition="0">
        <references count="2">
          <reference field="4294967294" count="1" selected="0">
            <x v="0"/>
          </reference>
          <reference field="0" count="1" selected="0">
            <x v="22"/>
          </reference>
        </references>
      </pivotArea>
    </chartFormat>
    <chartFormat chart="0" format="23" series="1">
      <pivotArea type="data" outline="0" fieldPosition="0">
        <references count="2">
          <reference field="4294967294" count="1" selected="0">
            <x v="0"/>
          </reference>
          <reference field="0" count="1" selected="0">
            <x v="23"/>
          </reference>
        </references>
      </pivotArea>
    </chartFormat>
    <chartFormat chart="0" format="24" series="1">
      <pivotArea type="data" outline="0" fieldPosition="0">
        <references count="2">
          <reference field="4294967294" count="1" selected="0">
            <x v="0"/>
          </reference>
          <reference field="0" count="1" selected="0">
            <x v="24"/>
          </reference>
        </references>
      </pivotArea>
    </chartFormat>
    <chartFormat chart="0" format="25" series="1">
      <pivotArea type="data" outline="0" fieldPosition="0">
        <references count="2">
          <reference field="4294967294" count="1" selected="0">
            <x v="1"/>
          </reference>
          <reference field="0" count="1" selected="0">
            <x v="0"/>
          </reference>
        </references>
      </pivotArea>
    </chartFormat>
    <chartFormat chart="0" format="26" series="1">
      <pivotArea type="data" outline="0" fieldPosition="0">
        <references count="2">
          <reference field="4294967294" count="1" selected="0">
            <x v="1"/>
          </reference>
          <reference field="0" count="1" selected="0">
            <x v="1"/>
          </reference>
        </references>
      </pivotArea>
    </chartFormat>
    <chartFormat chart="0" format="27" series="1">
      <pivotArea type="data" outline="0" fieldPosition="0">
        <references count="2">
          <reference field="4294967294" count="1" selected="0">
            <x v="1"/>
          </reference>
          <reference field="0" count="1" selected="0">
            <x v="2"/>
          </reference>
        </references>
      </pivotArea>
    </chartFormat>
    <chartFormat chart="0" format="28" series="1">
      <pivotArea type="data" outline="0" fieldPosition="0">
        <references count="2">
          <reference field="4294967294" count="1" selected="0">
            <x v="1"/>
          </reference>
          <reference field="0" count="1" selected="0">
            <x v="3"/>
          </reference>
        </references>
      </pivotArea>
    </chartFormat>
    <chartFormat chart="0" format="29" series="1">
      <pivotArea type="data" outline="0" fieldPosition="0">
        <references count="2">
          <reference field="4294967294" count="1" selected="0">
            <x v="1"/>
          </reference>
          <reference field="0" count="1" selected="0">
            <x v="4"/>
          </reference>
        </references>
      </pivotArea>
    </chartFormat>
    <chartFormat chart="0" format="30" series="1">
      <pivotArea type="data" outline="0" fieldPosition="0">
        <references count="2">
          <reference field="4294967294" count="1" selected="0">
            <x v="1"/>
          </reference>
          <reference field="0" count="1" selected="0">
            <x v="5"/>
          </reference>
        </references>
      </pivotArea>
    </chartFormat>
    <chartFormat chart="0" format="31" series="1">
      <pivotArea type="data" outline="0" fieldPosition="0">
        <references count="2">
          <reference field="4294967294" count="1" selected="0">
            <x v="1"/>
          </reference>
          <reference field="0" count="1" selected="0">
            <x v="6"/>
          </reference>
        </references>
      </pivotArea>
    </chartFormat>
    <chartFormat chart="0" format="32" series="1">
      <pivotArea type="data" outline="0" fieldPosition="0">
        <references count="2">
          <reference field="4294967294" count="1" selected="0">
            <x v="1"/>
          </reference>
          <reference field="0" count="1" selected="0">
            <x v="7"/>
          </reference>
        </references>
      </pivotArea>
    </chartFormat>
    <chartFormat chart="0" format="33" series="1">
      <pivotArea type="data" outline="0" fieldPosition="0">
        <references count="2">
          <reference field="4294967294" count="1" selected="0">
            <x v="1"/>
          </reference>
          <reference field="0" count="1" selected="0">
            <x v="8"/>
          </reference>
        </references>
      </pivotArea>
    </chartFormat>
    <chartFormat chart="0" format="34" series="1">
      <pivotArea type="data" outline="0" fieldPosition="0">
        <references count="2">
          <reference field="4294967294" count="1" selected="0">
            <x v="1"/>
          </reference>
          <reference field="0" count="1" selected="0">
            <x v="9"/>
          </reference>
        </references>
      </pivotArea>
    </chartFormat>
    <chartFormat chart="0" format="35" series="1">
      <pivotArea type="data" outline="0" fieldPosition="0">
        <references count="2">
          <reference field="4294967294" count="1" selected="0">
            <x v="1"/>
          </reference>
          <reference field="0" count="1" selected="0">
            <x v="10"/>
          </reference>
        </references>
      </pivotArea>
    </chartFormat>
    <chartFormat chart="0" format="36" series="1">
      <pivotArea type="data" outline="0" fieldPosition="0">
        <references count="2">
          <reference field="4294967294" count="1" selected="0">
            <x v="1"/>
          </reference>
          <reference field="0" count="1" selected="0">
            <x v="11"/>
          </reference>
        </references>
      </pivotArea>
    </chartFormat>
    <chartFormat chart="0" format="37" series="1">
      <pivotArea type="data" outline="0" fieldPosition="0">
        <references count="2">
          <reference field="4294967294" count="1" selected="0">
            <x v="1"/>
          </reference>
          <reference field="0" count="1" selected="0">
            <x v="12"/>
          </reference>
        </references>
      </pivotArea>
    </chartFormat>
    <chartFormat chart="0" format="38" series="1">
      <pivotArea type="data" outline="0" fieldPosition="0">
        <references count="2">
          <reference field="4294967294" count="1" selected="0">
            <x v="1"/>
          </reference>
          <reference field="0" count="1" selected="0">
            <x v="13"/>
          </reference>
        </references>
      </pivotArea>
    </chartFormat>
    <chartFormat chart="0" format="39" series="1">
      <pivotArea type="data" outline="0" fieldPosition="0">
        <references count="2">
          <reference field="4294967294" count="1" selected="0">
            <x v="1"/>
          </reference>
          <reference field="0" count="1" selected="0">
            <x v="14"/>
          </reference>
        </references>
      </pivotArea>
    </chartFormat>
    <chartFormat chart="0" format="40" series="1">
      <pivotArea type="data" outline="0" fieldPosition="0">
        <references count="2">
          <reference field="4294967294" count="1" selected="0">
            <x v="1"/>
          </reference>
          <reference field="0" count="1" selected="0">
            <x v="15"/>
          </reference>
        </references>
      </pivotArea>
    </chartFormat>
    <chartFormat chart="0" format="41" series="1">
      <pivotArea type="data" outline="0" fieldPosition="0">
        <references count="2">
          <reference field="4294967294" count="1" selected="0">
            <x v="1"/>
          </reference>
          <reference field="0" count="1" selected="0">
            <x v="16"/>
          </reference>
        </references>
      </pivotArea>
    </chartFormat>
    <chartFormat chart="0" format="42" series="1">
      <pivotArea type="data" outline="0" fieldPosition="0">
        <references count="2">
          <reference field="4294967294" count="1" selected="0">
            <x v="1"/>
          </reference>
          <reference field="0" count="1" selected="0">
            <x v="17"/>
          </reference>
        </references>
      </pivotArea>
    </chartFormat>
    <chartFormat chart="0" format="43" series="1">
      <pivotArea type="data" outline="0" fieldPosition="0">
        <references count="2">
          <reference field="4294967294" count="1" selected="0">
            <x v="1"/>
          </reference>
          <reference field="0" count="1" selected="0">
            <x v="18"/>
          </reference>
        </references>
      </pivotArea>
    </chartFormat>
    <chartFormat chart="0" format="44" series="1">
      <pivotArea type="data" outline="0" fieldPosition="0">
        <references count="2">
          <reference field="4294967294" count="1" selected="0">
            <x v="1"/>
          </reference>
          <reference field="0" count="1" selected="0">
            <x v="19"/>
          </reference>
        </references>
      </pivotArea>
    </chartFormat>
    <chartFormat chart="0" format="45" series="1">
      <pivotArea type="data" outline="0" fieldPosition="0">
        <references count="2">
          <reference field="4294967294" count="1" selected="0">
            <x v="1"/>
          </reference>
          <reference field="0" count="1" selected="0">
            <x v="20"/>
          </reference>
        </references>
      </pivotArea>
    </chartFormat>
    <chartFormat chart="0" format="46" series="1">
      <pivotArea type="data" outline="0" fieldPosition="0">
        <references count="2">
          <reference field="4294967294" count="1" selected="0">
            <x v="1"/>
          </reference>
          <reference field="0" count="1" selected="0">
            <x v="21"/>
          </reference>
        </references>
      </pivotArea>
    </chartFormat>
    <chartFormat chart="0" format="47" series="1">
      <pivotArea type="data" outline="0" fieldPosition="0">
        <references count="2">
          <reference field="4294967294" count="1" selected="0">
            <x v="1"/>
          </reference>
          <reference field="0" count="1" selected="0">
            <x v="22"/>
          </reference>
        </references>
      </pivotArea>
    </chartFormat>
    <chartFormat chart="0" format="48" series="1">
      <pivotArea type="data" outline="0" fieldPosition="0">
        <references count="2">
          <reference field="4294967294" count="1" selected="0">
            <x v="1"/>
          </reference>
          <reference field="0" count="1" selected="0">
            <x v="23"/>
          </reference>
        </references>
      </pivotArea>
    </chartFormat>
    <chartFormat chart="0" format="49" series="1">
      <pivotArea type="data" outline="0" fieldPosition="0">
        <references count="2">
          <reference field="4294967294" count="1" selected="0">
            <x v="1"/>
          </reference>
          <reference field="0" count="1" selected="0">
            <x v="24"/>
          </reference>
        </references>
      </pivotArea>
    </chartFormat>
    <chartFormat chart="7" format="52" series="1">
      <pivotArea type="data" outline="0" fieldPosition="0">
        <references count="1">
          <reference field="4294967294" count="1" selected="0">
            <x v="0"/>
          </reference>
        </references>
      </pivotArea>
    </chartFormat>
    <chartFormat chart="7" format="53" series="1">
      <pivotArea type="data" outline="0" fieldPosition="0">
        <references count="1">
          <reference field="4294967294" count="1" selected="0">
            <x v="1"/>
          </reference>
        </references>
      </pivotArea>
    </chartFormat>
    <chartFormat chart="9" format="52" series="1">
      <pivotArea type="data" outline="0" fieldPosition="0">
        <references count="1">
          <reference field="4294967294" count="1" selected="0">
            <x v="0"/>
          </reference>
        </references>
      </pivotArea>
    </chartFormat>
    <chartFormat chart="9" format="5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7F9993-4FBB-EC42-A4F1-C68867FB8E3A}"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29" firstHeaderRow="0" firstDataRow="1" firstDataCol="1"/>
  <pivotFields count="26">
    <pivotField axis="axisRow" showAll="0" sortType="ascending">
      <items count="26">
        <item x="13"/>
        <item x="18"/>
        <item x="16"/>
        <item x="22"/>
        <item x="19"/>
        <item x="3"/>
        <item x="7"/>
        <item x="0"/>
        <item x="14"/>
        <item x="9"/>
        <item x="2"/>
        <item x="11"/>
        <item x="6"/>
        <item x="23"/>
        <item x="17"/>
        <item x="8"/>
        <item x="4"/>
        <item x="12"/>
        <item x="5"/>
        <item x="24"/>
        <item x="15"/>
        <item x="10"/>
        <item x="21"/>
        <item x="20"/>
        <item x="1"/>
        <item t="default"/>
      </items>
      <autoSortScope>
        <pivotArea dataOnly="0" outline="0" fieldPosition="0">
          <references count="1">
            <reference field="4294967294" count="1" selected="0">
              <x v="1"/>
            </reference>
          </references>
        </pivotArea>
      </autoSortScope>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 numFmtId="2" showAll="0"/>
    <pivotField numFmtId="1" showAll="0"/>
    <pivotField numFmtId="1" showAll="0"/>
    <pivotField dataField="1" numFmtId="164" showAll="0"/>
    <pivotField dataField="1" numFmtId="10" showAll="0"/>
    <pivotField numFmtId="1" showAll="0"/>
    <pivotField numFmtId="2" showAll="0"/>
    <pivotField numFmtId="2" showAll="0"/>
  </pivotFields>
  <rowFields count="1">
    <field x="0"/>
  </rowFields>
  <rowItems count="26">
    <i>
      <x v="19"/>
    </i>
    <i>
      <x v="22"/>
    </i>
    <i>
      <x v="13"/>
    </i>
    <i>
      <x v="3"/>
    </i>
    <i>
      <x v="5"/>
    </i>
    <i>
      <x v="12"/>
    </i>
    <i>
      <x v="10"/>
    </i>
    <i>
      <x v="6"/>
    </i>
    <i>
      <x v="9"/>
    </i>
    <i>
      <x v="20"/>
    </i>
    <i>
      <x v="1"/>
    </i>
    <i>
      <x v="18"/>
    </i>
    <i>
      <x v="11"/>
    </i>
    <i>
      <x v="23"/>
    </i>
    <i>
      <x v="15"/>
    </i>
    <i>
      <x v="21"/>
    </i>
    <i>
      <x v="17"/>
    </i>
    <i>
      <x v="16"/>
    </i>
    <i>
      <x v="8"/>
    </i>
    <i>
      <x/>
    </i>
    <i>
      <x v="4"/>
    </i>
    <i>
      <x v="7"/>
    </i>
    <i>
      <x v="24"/>
    </i>
    <i>
      <x v="14"/>
    </i>
    <i>
      <x v="2"/>
    </i>
    <i t="grand">
      <x/>
    </i>
  </rowItems>
  <colFields count="1">
    <field x="-2"/>
  </colFields>
  <colItems count="2">
    <i>
      <x/>
    </i>
    <i i="1">
      <x v="1"/>
    </i>
  </colItems>
  <dataFields count="2">
    <dataField name="Sum of occupancy_rate_new" fld="22" baseField="0" baseItem="0" numFmtId="10"/>
    <dataField name="Sum of occupancy_rate_old" fld="21" baseField="0" baseItem="0" numFmtId="164"/>
  </dataFields>
  <chartFormats count="3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13"/>
          </reference>
        </references>
      </pivotArea>
    </chartFormat>
    <chartFormat chart="2" format="14" series="1">
      <pivotArea type="data" outline="0" fieldPosition="0">
        <references count="2">
          <reference field="4294967294" count="1" selected="0">
            <x v="0"/>
          </reference>
          <reference field="0" count="1" selected="0">
            <x v="14"/>
          </reference>
        </references>
      </pivotArea>
    </chartFormat>
    <chartFormat chart="2" format="15" series="1">
      <pivotArea type="data" outline="0" fieldPosition="0">
        <references count="2">
          <reference field="4294967294" count="1" selected="0">
            <x v="0"/>
          </reference>
          <reference field="0" count="1" selected="0">
            <x v="15"/>
          </reference>
        </references>
      </pivotArea>
    </chartFormat>
    <chartFormat chart="2" format="16" series="1">
      <pivotArea type="data" outline="0" fieldPosition="0">
        <references count="2">
          <reference field="4294967294" count="1" selected="0">
            <x v="0"/>
          </reference>
          <reference field="0" count="1" selected="0">
            <x v="16"/>
          </reference>
        </references>
      </pivotArea>
    </chartFormat>
    <chartFormat chart="2" format="17" series="1">
      <pivotArea type="data" outline="0" fieldPosition="0">
        <references count="2">
          <reference field="4294967294" count="1" selected="0">
            <x v="0"/>
          </reference>
          <reference field="0" count="1" selected="0">
            <x v="17"/>
          </reference>
        </references>
      </pivotArea>
    </chartFormat>
    <chartFormat chart="2" format="18" series="1">
      <pivotArea type="data" outline="0" fieldPosition="0">
        <references count="2">
          <reference field="4294967294" count="1" selected="0">
            <x v="0"/>
          </reference>
          <reference field="0" count="1" selected="0">
            <x v="18"/>
          </reference>
        </references>
      </pivotArea>
    </chartFormat>
    <chartFormat chart="2" format="19" series="1">
      <pivotArea type="data" outline="0" fieldPosition="0">
        <references count="2">
          <reference field="4294967294" count="1" selected="0">
            <x v="0"/>
          </reference>
          <reference field="0" count="1" selected="0">
            <x v="19"/>
          </reference>
        </references>
      </pivotArea>
    </chartFormat>
    <chartFormat chart="2" format="20" series="1">
      <pivotArea type="data" outline="0" fieldPosition="0">
        <references count="2">
          <reference field="4294967294" count="1" selected="0">
            <x v="0"/>
          </reference>
          <reference field="0" count="1" selected="0">
            <x v="20"/>
          </reference>
        </references>
      </pivotArea>
    </chartFormat>
    <chartFormat chart="2" format="21" series="1">
      <pivotArea type="data" outline="0" fieldPosition="0">
        <references count="2">
          <reference field="4294967294" count="1" selected="0">
            <x v="0"/>
          </reference>
          <reference field="0" count="1" selected="0">
            <x v="21"/>
          </reference>
        </references>
      </pivotArea>
    </chartFormat>
    <chartFormat chart="2" format="22" series="1">
      <pivotArea type="data" outline="0" fieldPosition="0">
        <references count="2">
          <reference field="4294967294" count="1" selected="0">
            <x v="0"/>
          </reference>
          <reference field="0" count="1" selected="0">
            <x v="22"/>
          </reference>
        </references>
      </pivotArea>
    </chartFormat>
    <chartFormat chart="2" format="23" series="1">
      <pivotArea type="data" outline="0" fieldPosition="0">
        <references count="2">
          <reference field="4294967294" count="1" selected="0">
            <x v="0"/>
          </reference>
          <reference field="0" count="1" selected="0">
            <x v="23"/>
          </reference>
        </references>
      </pivotArea>
    </chartFormat>
    <chartFormat chart="2" format="24" series="1">
      <pivotArea type="data" outline="0" fieldPosition="0">
        <references count="2">
          <reference field="4294967294" count="1" selected="0">
            <x v="0"/>
          </reference>
          <reference field="0" count="1" selected="0">
            <x v="24"/>
          </reference>
        </references>
      </pivotArea>
    </chartFormat>
    <chartFormat chart="2" format="49" series="1">
      <pivotArea type="data" outline="0" fieldPosition="0">
        <references count="1">
          <reference field="4294967294" count="1" selected="0">
            <x v="1"/>
          </reference>
        </references>
      </pivotArea>
    </chartFormat>
    <chartFormat chart="16" format="52" series="1">
      <pivotArea type="data" outline="0" fieldPosition="0">
        <references count="1">
          <reference field="4294967294" count="1" selected="0">
            <x v="0"/>
          </reference>
        </references>
      </pivotArea>
    </chartFormat>
    <chartFormat chart="16" format="53" series="1">
      <pivotArea type="data" outline="0" fieldPosition="0">
        <references count="1">
          <reference field="4294967294" count="1" selected="0">
            <x v="1"/>
          </reference>
        </references>
      </pivotArea>
    </chartFormat>
    <chartFormat chart="18" format="52" series="1">
      <pivotArea type="data" outline="0" fieldPosition="0">
        <references count="1">
          <reference field="4294967294" count="1" selected="0">
            <x v="0"/>
          </reference>
        </references>
      </pivotArea>
    </chartFormat>
    <chartFormat chart="18" format="5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C94B2C-B280-164B-A9BE-D1EFFD2FE5CB}"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29" firstHeaderRow="0" firstDataRow="1" firstDataCol="1"/>
  <pivotFields count="26">
    <pivotField axis="axisRow" showAll="0">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 numFmtId="2" showAll="0"/>
    <pivotField numFmtId="1" showAll="0"/>
    <pivotField numFmtId="1" showAll="0"/>
    <pivotField numFmtId="164" showAll="0"/>
    <pivotField numFmtId="10" showAll="0"/>
    <pivotField numFmtId="1" showAll="0"/>
    <pivotField dataField="1" numFmtId="2" showAll="0"/>
    <pivotField dataField="1" numFmtId="2"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staff_to_patient_ratio_old" fld="24" baseField="0" baseItem="0" numFmtId="2"/>
    <dataField name="Sum of staff_to_patient_ratio_new" fld="25"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CEB08-249F-034D-A45A-B3D76D2D830C}"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5:M61" firstHeaderRow="1" firstDataRow="1" firstDataCol="1"/>
  <pivotFields count="26">
    <pivotField axis="axisRow" showAll="0">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numFmtId="1" showAll="0"/>
    <pivotField numFmtId="1" showAll="0"/>
    <pivotField numFmtId="2" showAll="0"/>
    <pivotField numFmtId="2" showAll="0"/>
    <pivotField numFmtId="1" showAll="0"/>
    <pivotField numFmtId="1" showAll="0"/>
    <pivotField numFmtId="164" showAll="0"/>
    <pivotField numFmtId="10" showAll="0"/>
    <pivotField numFmtId="1" showAll="0"/>
    <pivotField numFmtId="2" showAll="0"/>
    <pivotField numFmtId="2"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_amount_of_bed_new"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F03B82-EC7F-2C42-A93D-C4B50B33E4E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6:M32" firstHeaderRow="1" firstDataRow="1" firstDataCol="1"/>
  <pivotFields count="26">
    <pivotField axis="axisRow" showAll="0" sortType="ascending">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2" showAll="0"/>
    <pivotField numFmtId="2" showAll="0"/>
    <pivotField numFmtId="1" showAll="0"/>
    <pivotField numFmtId="1" showAll="0"/>
    <pivotField numFmtId="164" showAll="0"/>
    <pivotField numFmtId="10" showAll="0"/>
    <pivotField numFmtId="1" showAll="0"/>
    <pivotField numFmtId="2" showAll="0"/>
    <pivotField numFmtId="2"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_amount_of_bed_old"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CFF675-5630-394B-BD7B-7E8D53363247}"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5:J31" firstHeaderRow="0" firstDataRow="1" firstDataCol="1"/>
  <pivotFields count="26">
    <pivotField axis="axisRow" showAll="0">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 numFmtId="2" showAll="0"/>
    <pivotField dataField="1" numFmtId="1" showAll="0"/>
    <pivotField dataField="1" numFmtId="1" showAll="0"/>
    <pivotField numFmtId="164" showAll="0"/>
    <pivotField numFmtId="10" showAll="0"/>
    <pivotField numFmtId="1" showAll="0"/>
    <pivotField numFmtId="2" showAll="0"/>
    <pivotField numFmtId="2"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total_occupied_bed_new" fld="20" baseField="0" baseItem="0" numFmtId="1"/>
    <dataField name="Sum of total_occupied_bed_old"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6551D5-3540-4149-87F2-C8FBE9A8FBBA}" name="PivotTable4"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F37" firstHeaderRow="1" firstDataRow="1" firstDataCol="1"/>
  <pivotFields count="26">
    <pivotField showAll="0">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numFmtId="1" showAll="0"/>
    <pivotField numFmtId="1" showAll="0"/>
    <pivotField numFmtId="2" showAll="0"/>
    <pivotField numFmtId="2" showAll="0"/>
    <pivotField numFmtId="1" showAll="0"/>
    <pivotField numFmtId="1" showAll="0"/>
    <pivotField numFmtId="164" showAll="0"/>
    <pivotField numFmtId="10" showAll="0"/>
    <pivotField numFmtId="1" showAll="0"/>
    <pivotField numFmtId="2" showAll="0"/>
    <pivotField numFmtId="2" showAll="0"/>
  </pivotFields>
  <rowFields count="1">
    <field x="-2"/>
  </rowFields>
  <rowItems count="2">
    <i>
      <x/>
    </i>
    <i i="1">
      <x v="1"/>
    </i>
  </rowItems>
  <colItems count="1">
    <i/>
  </colItems>
  <dataFields count="2">
    <dataField name="Average of occupied_beds_new" fld="14" subtotal="average" baseField="0" baseItem="0" numFmtId="1"/>
    <dataField name="Average of occupied_beds_old" fld="1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ACD0BC-61F9-0D42-93C5-541AC74E8B38}" name="PivotTable3"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7" firstHeaderRow="1" firstDataRow="1" firstDataCol="1"/>
  <pivotFields count="26">
    <pivotField showAll="0">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numFmtId="1" showAll="0"/>
    <pivotField numFmtId="1" showAll="0"/>
    <pivotField numFmtId="1" showAll="0"/>
    <pivotField numFmtId="1" showAll="0"/>
    <pivotField numFmtId="2" showAll="0"/>
    <pivotField numFmtId="2" showAll="0"/>
    <pivotField numFmtId="1" showAll="0"/>
    <pivotField numFmtId="1" showAll="0"/>
    <pivotField numFmtId="164" showAll="0"/>
    <pivotField numFmtId="10" showAll="0"/>
    <pivotField numFmtId="1" showAll="0"/>
    <pivotField numFmtId="2" showAll="0"/>
    <pivotField numFmtId="2" showAll="0"/>
  </pivotFields>
  <rowFields count="1">
    <field x="-2"/>
  </rowFields>
  <rowItems count="2">
    <i>
      <x/>
    </i>
    <i i="1">
      <x v="1"/>
    </i>
  </rowItems>
  <colItems count="1">
    <i/>
  </colItems>
  <dataFields count="2">
    <dataField name="Sum of staff_on_duty_new" fld="12" baseField="0" baseItem="0" numFmtId="1"/>
    <dataField name="Sum of staff_on_duty_old"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C66FBE-FAA7-7B4D-91DD-4EE2A6759351}" name="PivotTable2"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7" firstHeaderRow="1" firstDataRow="1" firstDataCol="1"/>
  <pivotFields count="26">
    <pivotField showAll="0">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numFmtId="1" showAll="0"/>
    <pivotField numFmtId="1" showAll="0"/>
    <pivotField numFmtId="1" showAll="0"/>
    <pivotField numFmtId="1" showAll="0"/>
    <pivotField numFmtId="1" showAll="0"/>
    <pivotField numFmtId="1" showAll="0"/>
    <pivotField numFmtId="2" showAll="0"/>
    <pivotField numFmtId="2" showAll="0"/>
    <pivotField numFmtId="1" showAll="0"/>
    <pivotField numFmtId="1" showAll="0"/>
    <pivotField numFmtId="164" showAll="0"/>
    <pivotField numFmtId="10" showAll="0"/>
    <pivotField numFmtId="1" showAll="0"/>
    <pivotField numFmtId="2" showAll="0"/>
    <pivotField numFmtId="2" showAll="0"/>
  </pivotFields>
  <rowFields count="1">
    <field x="-2"/>
  </rowFields>
  <rowItems count="2">
    <i>
      <x/>
    </i>
    <i i="1">
      <x v="1"/>
    </i>
  </rowItems>
  <colItems count="1">
    <i/>
  </colItems>
  <dataFields count="2">
    <dataField name="Sum of Total_amount_of_bed_new" fld="10" baseField="0" baseItem="0" numFmtId="1"/>
    <dataField name="Sum of Total_amount_of_bed_old"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DA73B4-87EA-7C49-9B7B-56F54DC8150E}" name="PivotTable1"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6">
    <pivotField showAll="0">
      <items count="26">
        <item x="13"/>
        <item x="18"/>
        <item x="16"/>
        <item x="22"/>
        <item x="19"/>
        <item x="3"/>
        <item x="7"/>
        <item x="0"/>
        <item x="14"/>
        <item x="9"/>
        <item x="2"/>
        <item x="11"/>
        <item x="6"/>
        <item x="23"/>
        <item x="17"/>
        <item x="8"/>
        <item x="4"/>
        <item x="12"/>
        <item x="5"/>
        <item x="24"/>
        <item x="15"/>
        <item x="10"/>
        <item x="21"/>
        <item x="2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 numFmtId="2" showAll="0"/>
    <pivotField dataField="1" numFmtId="1" showAll="0"/>
    <pivotField dataField="1" numFmtId="1" showAll="0"/>
    <pivotField numFmtId="164" showAll="0"/>
    <pivotField numFmtId="10" showAll="0"/>
    <pivotField numFmtId="1" showAll="0"/>
    <pivotField numFmtId="2" showAll="0"/>
    <pivotField numFmtId="2" showAll="0"/>
  </pivotFields>
  <rowFields count="1">
    <field x="-2"/>
  </rowFields>
  <rowItems count="2">
    <i>
      <x/>
    </i>
    <i i="1">
      <x v="1"/>
    </i>
  </rowItems>
  <colItems count="1">
    <i/>
  </colItems>
  <dataFields count="2">
    <dataField name="Sum of total_occupied_bed_new" fld="20" baseField="0" baseItem="0" numFmtId="1"/>
    <dataField name="Sum of total_occupied_bed_old"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E7456F-AE8F-9548-BD31-F6B31407D98B}" autoFormatId="16" applyNumberFormats="0" applyBorderFormats="0" applyFontFormats="0" applyPatternFormats="0" applyAlignmentFormats="0" applyWidthHeightFormats="0">
  <queryTableRefresh nextId="8">
    <queryTableFields count="7">
      <queryTableField id="1" name="Department" tableColumnId="1"/>
      <queryTableField id="2" name="Total_Beds" tableColumnId="2"/>
      <queryTableField id="3" name="Free_Beds" tableColumnId="3"/>
      <queryTableField id="4" name="Total_ICU_Beds" tableColumnId="4"/>
      <queryTableField id="5" name="Free_ICU_Beds" tableColumnId="5"/>
      <queryTableField id="6" name="Total_Amount_of_Beds" tableColumnId="6"/>
      <queryTableField id="7" name="Staff_On_Duty"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339BE82-70D3-A242-B538-E6693CB9FC46}" autoFormatId="16" applyNumberFormats="0" applyBorderFormats="0" applyFontFormats="0" applyPatternFormats="0" applyAlignmentFormats="0" applyWidthHeightFormats="0">
  <queryTableRefresh nextId="10">
    <queryTableFields count="9">
      <queryTableField id="1" name="Department" tableColumnId="1"/>
      <queryTableField id="2" name="Total_Beds" tableColumnId="2"/>
      <queryTableField id="3" name="Free_Beds" tableColumnId="3"/>
      <queryTableField id="4" name="Total_ICU_Beds" tableColumnId="4"/>
      <queryTableField id="5" name="Free_ICU_Beds" tableColumnId="5"/>
      <queryTableField id="6" name="Total_Amount_of_Beds" tableColumnId="6"/>
      <queryTableField id="7" name="Staff_On_Duty" tableColumnId="7"/>
      <queryTableField id="8" name="Occupied_Beds" tableColumnId="8"/>
      <queryTableField id="9" name="Occupied_ICU_Bed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153709C-04AF-F341-B7FE-4212D0A4F52A}" sourceName="Department">
  <pivotTables>
    <pivotTable tabId="9" name="PivotTable4"/>
    <pivotTable tabId="15" name="PivotTable7"/>
    <pivotTable tabId="14" name="PivotTable6"/>
    <pivotTable tabId="16" name="PivotTable8"/>
    <pivotTable tabId="13" name="PivotTable5"/>
    <pivotTable tabId="17" name="PivotTable1"/>
    <pivotTable tabId="17" name="PivotTable2"/>
    <pivotTable tabId="17" name="PivotTable3"/>
    <pivotTable tabId="17" name="PivotTable4"/>
    <pivotTable tabId="17" name="PivotTable5"/>
    <pivotTable tabId="17" name="PivotTable6"/>
    <pivotTable tabId="17" name="PivotTable7"/>
  </pivotTables>
  <data>
    <tabular pivotCacheId="1157698655">
      <items count="25">
        <i x="13" s="1"/>
        <i x="18" s="1"/>
        <i x="16" s="1"/>
        <i x="22" s="1"/>
        <i x="19" s="1"/>
        <i x="3" s="1"/>
        <i x="7" s="1"/>
        <i x="0" s="1"/>
        <i x="14" s="1"/>
        <i x="9" s="1"/>
        <i x="2" s="1"/>
        <i x="11" s="1"/>
        <i x="6" s="1"/>
        <i x="23" s="1"/>
        <i x="17" s="1"/>
        <i x="8" s="1"/>
        <i x="4" s="1"/>
        <i x="12" s="1"/>
        <i x="5" s="1"/>
        <i x="24" s="1"/>
        <i x="15" s="1"/>
        <i x="10" s="1"/>
        <i x="21" s="1"/>
        <i x="2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5463A0F-55C3-7544-8465-C71F54E2A2E8}" cache="Slicer_Department" caption="Department"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74D038-C74E-324F-A233-902A6E347872}" name="Hospital_Bed_Capacity" displayName="Hospital_Bed_Capacity" ref="A1:G26" tableType="queryTable" totalsRowShown="0">
  <autoFilter ref="A1:G26" xr:uid="{B074D038-C74E-324F-A233-902A6E347872}"/>
  <tableColumns count="7">
    <tableColumn id="1" xr3:uid="{34F414E3-76E5-DC48-B5D9-27031B3DCF3E}" uniqueName="1" name="Department" queryTableFieldId="1" dataDxfId="29"/>
    <tableColumn id="2" xr3:uid="{31E414C5-D3E4-384F-BFCE-5BA0E7AF9B88}" uniqueName="2" name="Total_Beds" queryTableFieldId="2"/>
    <tableColumn id="3" xr3:uid="{3841C701-8AA1-2940-8282-73FBF7E23505}" uniqueName="3" name="Free_Beds" queryTableFieldId="3"/>
    <tableColumn id="4" xr3:uid="{99DEA3C8-0C43-0149-A264-24F261AFC61F}" uniqueName="4" name="Total_ICU_Beds" queryTableFieldId="4"/>
    <tableColumn id="5" xr3:uid="{C08BBC48-9FF2-CB44-B2BA-00968E4F046B}" uniqueName="5" name="Free_ICU_Beds" queryTableFieldId="5"/>
    <tableColumn id="6" xr3:uid="{A00ACE9B-8A41-F145-8170-3088C60B3693}" uniqueName="6" name="Total_Amount_of_Beds" queryTableFieldId="6"/>
    <tableColumn id="7" xr3:uid="{92E97AD8-2011-8C4C-8D0A-F2FD69FFE126}" uniqueName="7" name="Staff_On_Duty"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3E25EA-031C-8148-835F-E8C1C58D549E}" name="Hospital_Bed_Capacity_New" displayName="Hospital_Bed_Capacity_New" ref="A1:I26" tableType="queryTable" totalsRowShown="0">
  <autoFilter ref="A1:I26" xr:uid="{F23E25EA-031C-8148-835F-E8C1C58D549E}"/>
  <tableColumns count="9">
    <tableColumn id="1" xr3:uid="{53746772-42BE-6649-B6FF-B1552F99B7D2}" uniqueName="1" name="Department" queryTableFieldId="1" dataDxfId="28"/>
    <tableColumn id="2" xr3:uid="{CA250E0B-75D1-514D-A9CD-B2977EBD8191}" uniqueName="2" name="Total_Beds" queryTableFieldId="2"/>
    <tableColumn id="3" xr3:uid="{DA04410E-1813-A848-98B7-22B26E2E430A}" uniqueName="3" name="Free_Beds" queryTableFieldId="3"/>
    <tableColumn id="4" xr3:uid="{81655D68-9762-7F45-8051-C76B7E68FF40}" uniqueName="4" name="Total_ICU_Beds" queryTableFieldId="4"/>
    <tableColumn id="5" xr3:uid="{8258D26C-82B8-1148-BBF0-D073278C891C}" uniqueName="5" name="Free_ICU_Beds" queryTableFieldId="5"/>
    <tableColumn id="6" xr3:uid="{53F213D0-A1B3-0B41-8AB2-C49333690E33}" uniqueName="6" name="Total_Amount_of_Beds" queryTableFieldId="6"/>
    <tableColumn id="7" xr3:uid="{5D615B70-C780-6749-8D51-7D7D26545293}" uniqueName="7" name="Staff_On_Duty" queryTableFieldId="7"/>
    <tableColumn id="8" xr3:uid="{F3F0A0AF-19B8-104F-9824-F0BBDAE0FBB6}" uniqueName="8" name="Occupied_Beds" queryTableFieldId="8"/>
    <tableColumn id="9" xr3:uid="{E5DC7B4F-C8E0-A142-B100-F6FDB518CE4E}" uniqueName="9" name="Occupied_ICU_Beds"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AB726E-CD92-7641-9E30-40A9F06869B0}" name="Table5" displayName="Table5" ref="A2:Z27" totalsRowShown="0" headerRowDxfId="27" dataDxfId="26">
  <autoFilter ref="A2:Z27" xr:uid="{5FAB726E-CD92-7641-9E30-40A9F06869B0}"/>
  <tableColumns count="26">
    <tableColumn id="1" xr3:uid="{E3E8A625-F8DA-CD44-8A67-BFCA0AEB3AEC}" name="Department" dataDxfId="25"/>
    <tableColumn id="2" xr3:uid="{C46C7711-5918-AA4D-BBEE-FECB52A4A8E4}" name="Total_bed_Old" dataDxfId="24"/>
    <tableColumn id="3" xr3:uid="{E77F1F3C-1196-3E40-B1E8-9C89699BD3A3}" name="Total_bed_new" dataDxfId="23"/>
    <tableColumn id="4" xr3:uid="{70A31DEE-0213-044F-B995-30F6C2893BA3}" name="Free_beds_old" dataDxfId="22"/>
    <tableColumn id="5" xr3:uid="{E204ECC0-039B-C542-93FF-E954B817F9C0}" name="Free_bed_new" dataDxfId="21"/>
    <tableColumn id="6" xr3:uid="{6345BF88-98FA-0E47-A4BB-7AB15342F3C5}" name="ICU_beds_old" dataDxfId="20"/>
    <tableColumn id="7" xr3:uid="{F0D775E4-C556-3442-98C2-F7957F382BDC}" name="ICU_bed_new" dataDxfId="19"/>
    <tableColumn id="8" xr3:uid="{A9698DCA-EF47-1344-81C2-C956F3C94DD5}" name="Free_ICU_beds_old" dataDxfId="18"/>
    <tableColumn id="9" xr3:uid="{92C619D7-B5F2-AF4A-9F8E-0FAB1BF84918}" name="Free_ICU_bed_new" dataDxfId="17"/>
    <tableColumn id="10" xr3:uid="{6599CDB0-797F-1E44-BA1B-01638E4A5701}" name="Total_amount_of_bed_old" dataDxfId="16"/>
    <tableColumn id="11" xr3:uid="{89D8F874-6037-2541-A9CE-6CC670ACDFE2}" name="Total_amount_of_bed_new" dataDxfId="15"/>
    <tableColumn id="12" xr3:uid="{E7F37CC3-2B48-CF4A-8C06-3D9601D14A63}" name="staff_on_duty_old" dataDxfId="14"/>
    <tableColumn id="13" xr3:uid="{F74777F0-44B9-7346-A6A9-2EF70B92C3F9}" name="staff_on_duty_new" dataDxfId="13"/>
    <tableColumn id="14" xr3:uid="{A750C620-2B41-7049-893A-56540A1C74F1}" name="occupied_beds_old" dataDxfId="12">
      <calculatedColumnFormula>(B3-D3)</calculatedColumnFormula>
    </tableColumn>
    <tableColumn id="15" xr3:uid="{4D04B3F0-0DE0-B84B-9C30-BC5DD6CF4F9C}" name="occupied_beds_new" dataDxfId="11"/>
    <tableColumn id="16" xr3:uid="{9D487B2B-FCE9-614C-A725-E0D0D3FB7EC4}" name="occupied_ICU_beds_old" dataDxfId="10">
      <calculatedColumnFormula>(F3-H3)</calculatedColumnFormula>
    </tableColumn>
    <tableColumn id="17" xr3:uid="{24817C3C-B406-F446-9D2E-59A64448B5E8}" name="occupied_ICU_beds_new" dataDxfId="9"/>
    <tableColumn id="18" xr3:uid="{5F20230A-0480-9A4D-917F-EF50591F37AE}" name="staff_to_bed_ratio_old" dataDxfId="8">
      <calculatedColumnFormula>(L3/J3)</calculatedColumnFormula>
    </tableColumn>
    <tableColumn id="19" xr3:uid="{34CA8D8A-D14F-024D-A4DA-EBEBB225DF4F}" name="staff_to_bed_ratio_new" dataDxfId="7">
      <calculatedColumnFormula>(M3/K3)</calculatedColumnFormula>
    </tableColumn>
    <tableColumn id="20" xr3:uid="{11BC1781-B288-A646-B9CD-7F0E702AA5FA}" name="total_occupied_bed_old" dataDxfId="6">
      <calculatedColumnFormula>SUM(N3,P3)</calculatedColumnFormula>
    </tableColumn>
    <tableColumn id="21" xr3:uid="{DA316BFD-97C6-5B49-B477-FF64464C3EFA}" name="total_occupied_bed_new" dataDxfId="5">
      <calculatedColumnFormula>SUM(O3,Q3)</calculatedColumnFormula>
    </tableColumn>
    <tableColumn id="22" xr3:uid="{28AF2B3D-17B1-E948-91BD-ABA44635C3CD}" name="occupancy_rate_old" dataDxfId="4" dataCellStyle="Percent">
      <calculatedColumnFormula>(T3/J3)</calculatedColumnFormula>
    </tableColumn>
    <tableColumn id="23" xr3:uid="{66B08F3E-0E62-1F45-A4AB-CE24041EE265}" name="occupancy_rate_new" dataDxfId="3">
      <calculatedColumnFormula>(Table5[[#This Row],[total_occupied_bed_new]]/Table5[[#This Row],[Total_amount_of_bed_new]])</calculatedColumnFormula>
    </tableColumn>
    <tableColumn id="25" xr3:uid="{0D8B6198-04EF-FC4A-9D85-108A87C317A7}" name="Delta_capacity" dataDxfId="2">
      <calculatedColumnFormula>(Table5[[#This Row],[Total_amount_of_bed_new]]-Table5[[#This Row],[Total_amount_of_bed_old]])</calculatedColumnFormula>
    </tableColumn>
    <tableColumn id="26" xr3:uid="{2BE6E0EF-1728-DE46-8A8E-1F4F918D1A47}" name="staff_to_patient_ratio_old" dataDxfId="1">
      <calculatedColumnFormula>(Table5[[#This Row],[staff_on_duty_old]]/Table5[[#This Row],[total_occupied_bed_old]])</calculatedColumnFormula>
    </tableColumn>
    <tableColumn id="27" xr3:uid="{94AC1E01-39BA-0240-82B6-6398888B7E99}" name="staff_to_patient_ratio_new" dataDxfId="0">
      <calculatedColumnFormula>(Table5[[#This Row],[staff_on_duty_new]]/Table5[[#This Row],[total_occupied_bed_new]])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67B2A-92D5-8F47-A062-07FD34D002DA}">
  <dimension ref="A1:G26"/>
  <sheetViews>
    <sheetView workbookViewId="0">
      <selection activeCell="A3" sqref="A3"/>
    </sheetView>
  </sheetViews>
  <sheetFormatPr baseColWidth="10" defaultRowHeight="16" x14ac:dyDescent="0.2"/>
  <cols>
    <col min="1" max="1" width="26.83203125" bestFit="1" customWidth="1"/>
    <col min="2" max="2" width="12.6640625" bestFit="1" customWidth="1"/>
    <col min="3" max="3" width="12.33203125" bestFit="1" customWidth="1"/>
    <col min="4" max="4" width="16.5" bestFit="1" customWidth="1"/>
    <col min="5" max="5" width="16.1640625" bestFit="1" customWidth="1"/>
    <col min="6" max="6" width="22.6640625" bestFit="1" customWidth="1"/>
    <col min="7" max="7" width="15.5" bestFit="1" customWidth="1"/>
  </cols>
  <sheetData>
    <row r="1" spans="1:7" x14ac:dyDescent="0.2">
      <c r="A1" t="s">
        <v>0</v>
      </c>
      <c r="B1" t="s">
        <v>1</v>
      </c>
      <c r="C1" t="s">
        <v>2</v>
      </c>
      <c r="D1" t="s">
        <v>3</v>
      </c>
      <c r="E1" t="s">
        <v>4</v>
      </c>
      <c r="F1" t="s">
        <v>5</v>
      </c>
      <c r="G1" t="s">
        <v>6</v>
      </c>
    </row>
    <row r="2" spans="1:7" x14ac:dyDescent="0.2">
      <c r="A2" t="s">
        <v>7</v>
      </c>
      <c r="B2">
        <v>140</v>
      </c>
      <c r="C2">
        <v>22</v>
      </c>
      <c r="D2">
        <v>20</v>
      </c>
      <c r="E2">
        <v>4</v>
      </c>
      <c r="F2">
        <v>160</v>
      </c>
      <c r="G2">
        <v>110</v>
      </c>
    </row>
    <row r="3" spans="1:7" x14ac:dyDescent="0.2">
      <c r="A3" t="s">
        <v>8</v>
      </c>
      <c r="B3">
        <v>100</v>
      </c>
      <c r="C3">
        <v>15</v>
      </c>
      <c r="D3">
        <v>25</v>
      </c>
      <c r="E3">
        <v>5</v>
      </c>
      <c r="F3">
        <v>125</v>
      </c>
      <c r="G3">
        <v>85</v>
      </c>
    </row>
    <row r="4" spans="1:7" x14ac:dyDescent="0.2">
      <c r="A4" t="s">
        <v>9</v>
      </c>
      <c r="B4">
        <v>180</v>
      </c>
      <c r="C4">
        <v>35</v>
      </c>
      <c r="D4">
        <v>20</v>
      </c>
      <c r="E4">
        <v>4</v>
      </c>
      <c r="F4">
        <v>200</v>
      </c>
      <c r="G4">
        <v>130</v>
      </c>
    </row>
    <row r="5" spans="1:7" x14ac:dyDescent="0.2">
      <c r="A5" t="s">
        <v>10</v>
      </c>
      <c r="B5">
        <v>110</v>
      </c>
      <c r="C5">
        <v>25</v>
      </c>
      <c r="D5">
        <v>25</v>
      </c>
      <c r="E5">
        <v>5</v>
      </c>
      <c r="F5">
        <v>135</v>
      </c>
      <c r="G5">
        <v>95</v>
      </c>
    </row>
    <row r="6" spans="1:7" x14ac:dyDescent="0.2">
      <c r="A6" t="s">
        <v>11</v>
      </c>
      <c r="B6">
        <v>100</v>
      </c>
      <c r="C6">
        <v>18</v>
      </c>
      <c r="D6">
        <v>18</v>
      </c>
      <c r="E6">
        <v>3</v>
      </c>
      <c r="F6">
        <v>118</v>
      </c>
      <c r="G6">
        <v>88</v>
      </c>
    </row>
    <row r="7" spans="1:7" x14ac:dyDescent="0.2">
      <c r="A7" t="s">
        <v>12</v>
      </c>
      <c r="B7">
        <v>150</v>
      </c>
      <c r="C7">
        <v>28</v>
      </c>
      <c r="D7">
        <v>10</v>
      </c>
      <c r="E7">
        <v>2</v>
      </c>
      <c r="F7">
        <v>160</v>
      </c>
      <c r="G7">
        <v>115</v>
      </c>
    </row>
    <row r="8" spans="1:7" x14ac:dyDescent="0.2">
      <c r="A8" t="s">
        <v>13</v>
      </c>
      <c r="B8">
        <v>240</v>
      </c>
      <c r="C8">
        <v>48</v>
      </c>
      <c r="D8">
        <v>15</v>
      </c>
      <c r="E8">
        <v>4</v>
      </c>
      <c r="F8">
        <v>255</v>
      </c>
      <c r="G8">
        <v>150</v>
      </c>
    </row>
    <row r="9" spans="1:7" x14ac:dyDescent="0.2">
      <c r="A9" t="s">
        <v>14</v>
      </c>
      <c r="B9">
        <v>130</v>
      </c>
      <c r="C9">
        <v>24</v>
      </c>
      <c r="D9">
        <v>22</v>
      </c>
      <c r="E9">
        <v>5</v>
      </c>
      <c r="F9">
        <v>152</v>
      </c>
      <c r="G9">
        <v>105</v>
      </c>
    </row>
    <row r="10" spans="1:7" x14ac:dyDescent="0.2">
      <c r="A10" t="s">
        <v>15</v>
      </c>
      <c r="B10">
        <v>110</v>
      </c>
      <c r="C10">
        <v>20</v>
      </c>
      <c r="D10">
        <v>20</v>
      </c>
      <c r="E10">
        <v>4</v>
      </c>
      <c r="F10">
        <v>130</v>
      </c>
      <c r="G10">
        <v>92</v>
      </c>
    </row>
    <row r="11" spans="1:7" x14ac:dyDescent="0.2">
      <c r="A11" t="s">
        <v>16</v>
      </c>
      <c r="B11">
        <v>95</v>
      </c>
      <c r="C11">
        <v>18</v>
      </c>
      <c r="D11">
        <v>10</v>
      </c>
      <c r="E11">
        <v>2</v>
      </c>
      <c r="F11">
        <v>105</v>
      </c>
      <c r="G11">
        <v>78</v>
      </c>
    </row>
    <row r="12" spans="1:7" x14ac:dyDescent="0.2">
      <c r="A12" t="s">
        <v>17</v>
      </c>
      <c r="B12">
        <v>110</v>
      </c>
      <c r="C12">
        <v>20</v>
      </c>
      <c r="D12">
        <v>15</v>
      </c>
      <c r="E12">
        <v>3</v>
      </c>
      <c r="F12">
        <v>125</v>
      </c>
      <c r="G12">
        <v>82</v>
      </c>
    </row>
    <row r="13" spans="1:7" x14ac:dyDescent="0.2">
      <c r="A13" t="s">
        <v>18</v>
      </c>
      <c r="B13">
        <v>90</v>
      </c>
      <c r="C13">
        <v>16</v>
      </c>
      <c r="D13">
        <v>12</v>
      </c>
      <c r="E13">
        <v>3</v>
      </c>
      <c r="F13">
        <v>102</v>
      </c>
      <c r="G13">
        <v>76</v>
      </c>
    </row>
    <row r="14" spans="1:7" x14ac:dyDescent="0.2">
      <c r="A14" t="s">
        <v>19</v>
      </c>
      <c r="B14">
        <v>140</v>
      </c>
      <c r="C14">
        <v>26</v>
      </c>
      <c r="D14">
        <v>18</v>
      </c>
      <c r="E14">
        <v>3</v>
      </c>
      <c r="F14">
        <v>158</v>
      </c>
      <c r="G14">
        <v>120</v>
      </c>
    </row>
    <row r="15" spans="1:7" x14ac:dyDescent="0.2">
      <c r="A15" t="s">
        <v>20</v>
      </c>
      <c r="B15">
        <v>85</v>
      </c>
      <c r="C15">
        <v>14</v>
      </c>
      <c r="D15">
        <v>10</v>
      </c>
      <c r="E15">
        <v>2</v>
      </c>
      <c r="F15">
        <v>95</v>
      </c>
      <c r="G15">
        <v>72</v>
      </c>
    </row>
    <row r="16" spans="1:7" x14ac:dyDescent="0.2">
      <c r="A16" t="s">
        <v>21</v>
      </c>
      <c r="B16">
        <v>70</v>
      </c>
      <c r="C16">
        <v>12</v>
      </c>
      <c r="D16">
        <v>6</v>
      </c>
      <c r="E16">
        <v>1</v>
      </c>
      <c r="F16">
        <v>76</v>
      </c>
      <c r="G16">
        <v>58</v>
      </c>
    </row>
    <row r="17" spans="1:7" x14ac:dyDescent="0.2">
      <c r="A17" t="s">
        <v>22</v>
      </c>
      <c r="B17">
        <v>170</v>
      </c>
      <c r="C17">
        <v>32</v>
      </c>
      <c r="D17">
        <v>10</v>
      </c>
      <c r="E17">
        <v>2</v>
      </c>
      <c r="F17">
        <v>180</v>
      </c>
      <c r="G17">
        <v>135</v>
      </c>
    </row>
    <row r="18" spans="1:7" x14ac:dyDescent="0.2">
      <c r="A18" t="s">
        <v>23</v>
      </c>
      <c r="B18">
        <v>45</v>
      </c>
      <c r="C18">
        <v>7</v>
      </c>
      <c r="D18">
        <v>45</v>
      </c>
      <c r="E18">
        <v>7</v>
      </c>
      <c r="F18">
        <v>45</v>
      </c>
      <c r="G18">
        <v>60</v>
      </c>
    </row>
    <row r="19" spans="1:7" x14ac:dyDescent="0.2">
      <c r="A19" t="s">
        <v>24</v>
      </c>
      <c r="B19">
        <v>60</v>
      </c>
      <c r="C19">
        <v>10</v>
      </c>
      <c r="D19">
        <v>60</v>
      </c>
      <c r="E19">
        <v>10</v>
      </c>
      <c r="F19">
        <v>60</v>
      </c>
      <c r="G19">
        <v>70</v>
      </c>
    </row>
    <row r="20" spans="1:7" x14ac:dyDescent="0.2">
      <c r="A20" t="s">
        <v>25</v>
      </c>
      <c r="B20">
        <v>160</v>
      </c>
      <c r="C20">
        <v>30</v>
      </c>
      <c r="D20">
        <v>5</v>
      </c>
      <c r="E20">
        <v>1</v>
      </c>
      <c r="F20">
        <v>165</v>
      </c>
      <c r="G20">
        <v>125</v>
      </c>
    </row>
    <row r="21" spans="1:7" x14ac:dyDescent="0.2">
      <c r="A21" t="s">
        <v>26</v>
      </c>
      <c r="B21">
        <v>40</v>
      </c>
      <c r="C21">
        <v>7</v>
      </c>
      <c r="D21">
        <v>20</v>
      </c>
      <c r="E21">
        <v>3</v>
      </c>
      <c r="F21">
        <v>60</v>
      </c>
      <c r="G21">
        <v>50</v>
      </c>
    </row>
    <row r="22" spans="1:7" x14ac:dyDescent="0.2">
      <c r="A22" t="s">
        <v>27</v>
      </c>
      <c r="B22">
        <v>50</v>
      </c>
      <c r="C22">
        <v>9</v>
      </c>
      <c r="D22">
        <v>20</v>
      </c>
      <c r="E22">
        <v>4</v>
      </c>
      <c r="F22">
        <v>70</v>
      </c>
      <c r="G22">
        <v>60</v>
      </c>
    </row>
    <row r="23" spans="1:7" x14ac:dyDescent="0.2">
      <c r="A23" t="s">
        <v>28</v>
      </c>
      <c r="B23">
        <v>160</v>
      </c>
      <c r="C23">
        <v>50</v>
      </c>
      <c r="D23">
        <v>0</v>
      </c>
      <c r="E23">
        <v>0</v>
      </c>
      <c r="F23">
        <v>160</v>
      </c>
      <c r="G23">
        <v>115</v>
      </c>
    </row>
    <row r="24" spans="1:7" x14ac:dyDescent="0.2">
      <c r="A24" t="s">
        <v>29</v>
      </c>
      <c r="B24">
        <v>200</v>
      </c>
      <c r="C24">
        <v>50</v>
      </c>
      <c r="D24">
        <v>0</v>
      </c>
      <c r="E24">
        <v>0</v>
      </c>
      <c r="F24">
        <v>200</v>
      </c>
      <c r="G24">
        <v>145</v>
      </c>
    </row>
    <row r="25" spans="1:7" x14ac:dyDescent="0.2">
      <c r="A25" t="s">
        <v>30</v>
      </c>
      <c r="B25">
        <v>240</v>
      </c>
      <c r="C25">
        <v>70</v>
      </c>
      <c r="D25">
        <v>0</v>
      </c>
      <c r="E25">
        <v>0</v>
      </c>
      <c r="F25">
        <v>240</v>
      </c>
      <c r="G25">
        <v>160</v>
      </c>
    </row>
    <row r="26" spans="1:7" x14ac:dyDescent="0.2">
      <c r="A26" t="s">
        <v>31</v>
      </c>
      <c r="B26">
        <v>90</v>
      </c>
      <c r="C26">
        <v>30</v>
      </c>
      <c r="D26">
        <v>0</v>
      </c>
      <c r="E26">
        <v>0</v>
      </c>
      <c r="F26">
        <v>90</v>
      </c>
      <c r="G26">
        <v>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C4194-9143-9642-9F3C-5DC01EA06FFF}">
  <dimension ref="A1:I26"/>
  <sheetViews>
    <sheetView workbookViewId="0">
      <selection activeCell="A3" sqref="A3"/>
    </sheetView>
  </sheetViews>
  <sheetFormatPr baseColWidth="10" defaultRowHeight="16" x14ac:dyDescent="0.2"/>
  <cols>
    <col min="1" max="1" width="26.83203125" bestFit="1" customWidth="1"/>
    <col min="2" max="2" width="12.6640625" bestFit="1" customWidth="1"/>
    <col min="3" max="3" width="12.33203125" bestFit="1" customWidth="1"/>
    <col min="4" max="4" width="16.5" bestFit="1" customWidth="1"/>
    <col min="5" max="5" width="16.1640625" bestFit="1" customWidth="1"/>
    <col min="6" max="6" width="22.6640625" bestFit="1" customWidth="1"/>
    <col min="7" max="7" width="15.5" bestFit="1" customWidth="1"/>
    <col min="8" max="8" width="16.5" bestFit="1" customWidth="1"/>
    <col min="9" max="9" width="20.5" bestFit="1" customWidth="1"/>
  </cols>
  <sheetData>
    <row r="1" spans="1:9" x14ac:dyDescent="0.2">
      <c r="A1" t="s">
        <v>0</v>
      </c>
      <c r="B1" t="s">
        <v>1</v>
      </c>
      <c r="C1" t="s">
        <v>2</v>
      </c>
      <c r="D1" t="s">
        <v>3</v>
      </c>
      <c r="E1" t="s">
        <v>4</v>
      </c>
      <c r="F1" t="s">
        <v>5</v>
      </c>
      <c r="G1" t="s">
        <v>6</v>
      </c>
      <c r="H1" t="s">
        <v>32</v>
      </c>
      <c r="I1" t="s">
        <v>33</v>
      </c>
    </row>
    <row r="2" spans="1:9" x14ac:dyDescent="0.2">
      <c r="A2" t="s">
        <v>7</v>
      </c>
      <c r="B2">
        <v>175</v>
      </c>
      <c r="C2">
        <v>99</v>
      </c>
      <c r="D2">
        <v>45</v>
      </c>
      <c r="E2">
        <v>16</v>
      </c>
      <c r="F2">
        <v>220</v>
      </c>
      <c r="G2">
        <v>100</v>
      </c>
      <c r="H2">
        <v>76</v>
      </c>
      <c r="I2">
        <v>29</v>
      </c>
    </row>
    <row r="3" spans="1:9" x14ac:dyDescent="0.2">
      <c r="A3" t="s">
        <v>8</v>
      </c>
      <c r="B3">
        <v>140</v>
      </c>
      <c r="C3">
        <v>30</v>
      </c>
      <c r="D3">
        <v>60</v>
      </c>
      <c r="E3">
        <v>24</v>
      </c>
      <c r="F3">
        <v>200</v>
      </c>
      <c r="G3">
        <v>90</v>
      </c>
      <c r="H3">
        <v>110</v>
      </c>
      <c r="I3">
        <v>36</v>
      </c>
    </row>
    <row r="4" spans="1:9" x14ac:dyDescent="0.2">
      <c r="A4" t="s">
        <v>9</v>
      </c>
      <c r="B4">
        <v>175</v>
      </c>
      <c r="C4">
        <v>79</v>
      </c>
      <c r="D4">
        <v>45</v>
      </c>
      <c r="E4">
        <v>20</v>
      </c>
      <c r="F4">
        <v>220</v>
      </c>
      <c r="G4">
        <v>100</v>
      </c>
      <c r="H4">
        <v>96</v>
      </c>
      <c r="I4">
        <v>25</v>
      </c>
    </row>
    <row r="5" spans="1:9" x14ac:dyDescent="0.2">
      <c r="A5" t="s">
        <v>10</v>
      </c>
      <c r="B5">
        <v>160</v>
      </c>
      <c r="C5">
        <v>61</v>
      </c>
      <c r="D5">
        <v>60</v>
      </c>
      <c r="E5">
        <v>23</v>
      </c>
      <c r="F5">
        <v>220</v>
      </c>
      <c r="G5">
        <v>100</v>
      </c>
      <c r="H5">
        <v>99</v>
      </c>
      <c r="I5">
        <v>37</v>
      </c>
    </row>
    <row r="6" spans="1:9" x14ac:dyDescent="0.2">
      <c r="A6" t="s">
        <v>11</v>
      </c>
      <c r="B6">
        <v>168</v>
      </c>
      <c r="C6">
        <v>71</v>
      </c>
      <c r="D6">
        <v>52</v>
      </c>
      <c r="E6">
        <v>22</v>
      </c>
      <c r="F6">
        <v>220</v>
      </c>
      <c r="G6">
        <v>100</v>
      </c>
      <c r="H6">
        <v>97</v>
      </c>
      <c r="I6">
        <v>30</v>
      </c>
    </row>
    <row r="7" spans="1:9" x14ac:dyDescent="0.2">
      <c r="A7" t="s">
        <v>12</v>
      </c>
      <c r="B7">
        <v>190</v>
      </c>
      <c r="C7">
        <v>66</v>
      </c>
      <c r="D7">
        <v>30</v>
      </c>
      <c r="E7">
        <v>10</v>
      </c>
      <c r="F7">
        <v>220</v>
      </c>
      <c r="G7">
        <v>100</v>
      </c>
      <c r="H7">
        <v>124</v>
      </c>
      <c r="I7">
        <v>20</v>
      </c>
    </row>
    <row r="8" spans="1:9" x14ac:dyDescent="0.2">
      <c r="A8" t="s">
        <v>13</v>
      </c>
      <c r="B8">
        <v>255</v>
      </c>
      <c r="C8">
        <v>60</v>
      </c>
      <c r="D8">
        <v>45</v>
      </c>
      <c r="E8">
        <v>18</v>
      </c>
      <c r="F8">
        <v>300</v>
      </c>
      <c r="G8">
        <v>135</v>
      </c>
      <c r="H8">
        <v>195</v>
      </c>
      <c r="I8">
        <v>27</v>
      </c>
    </row>
    <row r="9" spans="1:9" x14ac:dyDescent="0.2">
      <c r="A9" t="s">
        <v>14</v>
      </c>
      <c r="B9">
        <v>200</v>
      </c>
      <c r="C9">
        <v>120</v>
      </c>
      <c r="D9">
        <v>60</v>
      </c>
      <c r="E9">
        <v>27</v>
      </c>
      <c r="F9">
        <v>260</v>
      </c>
      <c r="G9">
        <v>115</v>
      </c>
      <c r="H9">
        <v>80</v>
      </c>
      <c r="I9">
        <v>33</v>
      </c>
    </row>
    <row r="10" spans="1:9" x14ac:dyDescent="0.2">
      <c r="A10" t="s">
        <v>15</v>
      </c>
      <c r="B10">
        <v>195</v>
      </c>
      <c r="C10">
        <v>74</v>
      </c>
      <c r="D10">
        <v>45</v>
      </c>
      <c r="E10">
        <v>17</v>
      </c>
      <c r="F10">
        <v>240</v>
      </c>
      <c r="G10">
        <v>110</v>
      </c>
      <c r="H10">
        <v>121</v>
      </c>
      <c r="I10">
        <v>28</v>
      </c>
    </row>
    <row r="11" spans="1:9" x14ac:dyDescent="0.2">
      <c r="A11" t="s">
        <v>16</v>
      </c>
      <c r="B11">
        <v>198</v>
      </c>
      <c r="C11">
        <v>83</v>
      </c>
      <c r="D11">
        <v>22</v>
      </c>
      <c r="E11">
        <v>9</v>
      </c>
      <c r="F11">
        <v>220</v>
      </c>
      <c r="G11">
        <v>100</v>
      </c>
      <c r="H11">
        <v>115</v>
      </c>
      <c r="I11">
        <v>13</v>
      </c>
    </row>
    <row r="12" spans="1:9" x14ac:dyDescent="0.2">
      <c r="A12" t="s">
        <v>17</v>
      </c>
      <c r="B12">
        <v>202</v>
      </c>
      <c r="C12">
        <v>71</v>
      </c>
      <c r="D12">
        <v>38</v>
      </c>
      <c r="E12">
        <v>13</v>
      </c>
      <c r="F12">
        <v>240</v>
      </c>
      <c r="G12">
        <v>110</v>
      </c>
      <c r="H12">
        <v>131</v>
      </c>
      <c r="I12">
        <v>25</v>
      </c>
    </row>
    <row r="13" spans="1:9" x14ac:dyDescent="0.2">
      <c r="A13" t="s">
        <v>18</v>
      </c>
      <c r="B13">
        <v>175</v>
      </c>
      <c r="C13">
        <v>70</v>
      </c>
      <c r="D13">
        <v>45</v>
      </c>
      <c r="E13">
        <v>18</v>
      </c>
      <c r="F13">
        <v>220</v>
      </c>
      <c r="G13">
        <v>100</v>
      </c>
      <c r="H13">
        <v>105</v>
      </c>
      <c r="I13">
        <v>27</v>
      </c>
    </row>
    <row r="14" spans="1:9" x14ac:dyDescent="0.2">
      <c r="A14" t="s">
        <v>19</v>
      </c>
      <c r="B14">
        <v>222</v>
      </c>
      <c r="C14">
        <v>130</v>
      </c>
      <c r="D14">
        <v>38</v>
      </c>
      <c r="E14">
        <v>17</v>
      </c>
      <c r="F14">
        <v>260</v>
      </c>
      <c r="G14">
        <v>115</v>
      </c>
      <c r="H14">
        <v>92</v>
      </c>
      <c r="I14">
        <v>21</v>
      </c>
    </row>
    <row r="15" spans="1:9" x14ac:dyDescent="0.2">
      <c r="A15" t="s">
        <v>20</v>
      </c>
      <c r="B15">
        <v>178</v>
      </c>
      <c r="C15">
        <v>68</v>
      </c>
      <c r="D15">
        <v>22</v>
      </c>
      <c r="E15">
        <v>8</v>
      </c>
      <c r="F15">
        <v>200</v>
      </c>
      <c r="G15">
        <v>90</v>
      </c>
      <c r="H15">
        <v>110</v>
      </c>
      <c r="I15">
        <v>14</v>
      </c>
    </row>
    <row r="16" spans="1:9" x14ac:dyDescent="0.2">
      <c r="A16" t="s">
        <v>21</v>
      </c>
      <c r="B16">
        <v>165</v>
      </c>
      <c r="C16">
        <v>69</v>
      </c>
      <c r="D16">
        <v>15</v>
      </c>
      <c r="E16">
        <v>6</v>
      </c>
      <c r="F16">
        <v>180</v>
      </c>
      <c r="G16">
        <v>80</v>
      </c>
      <c r="H16">
        <v>96</v>
      </c>
      <c r="I16">
        <v>9</v>
      </c>
    </row>
    <row r="17" spans="1:9" x14ac:dyDescent="0.2">
      <c r="A17" t="s">
        <v>22</v>
      </c>
      <c r="B17">
        <v>190</v>
      </c>
      <c r="C17">
        <v>110</v>
      </c>
      <c r="D17">
        <v>30</v>
      </c>
      <c r="E17">
        <v>10</v>
      </c>
      <c r="F17">
        <v>220</v>
      </c>
      <c r="G17">
        <v>100</v>
      </c>
      <c r="H17">
        <v>80</v>
      </c>
      <c r="I17">
        <v>20</v>
      </c>
    </row>
    <row r="18" spans="1:9" x14ac:dyDescent="0.2">
      <c r="A18" t="s">
        <v>23</v>
      </c>
      <c r="B18">
        <v>70</v>
      </c>
      <c r="C18">
        <v>28</v>
      </c>
      <c r="D18">
        <v>90</v>
      </c>
      <c r="E18">
        <v>36</v>
      </c>
      <c r="F18">
        <v>160</v>
      </c>
      <c r="G18">
        <v>70</v>
      </c>
      <c r="H18">
        <v>42</v>
      </c>
      <c r="I18">
        <v>54</v>
      </c>
    </row>
    <row r="19" spans="1:9" x14ac:dyDescent="0.2">
      <c r="A19" t="s">
        <v>24</v>
      </c>
      <c r="B19">
        <v>75</v>
      </c>
      <c r="C19">
        <v>34</v>
      </c>
      <c r="D19">
        <v>105</v>
      </c>
      <c r="E19">
        <v>47</v>
      </c>
      <c r="F19">
        <v>180</v>
      </c>
      <c r="G19">
        <v>80</v>
      </c>
      <c r="H19">
        <v>41</v>
      </c>
      <c r="I19">
        <v>58</v>
      </c>
    </row>
    <row r="20" spans="1:9" x14ac:dyDescent="0.2">
      <c r="A20" t="s">
        <v>25</v>
      </c>
      <c r="B20">
        <v>230</v>
      </c>
      <c r="C20">
        <v>87</v>
      </c>
      <c r="D20">
        <v>30</v>
      </c>
      <c r="E20">
        <v>11</v>
      </c>
      <c r="F20">
        <v>260</v>
      </c>
      <c r="G20">
        <v>115</v>
      </c>
      <c r="H20">
        <v>143</v>
      </c>
      <c r="I20">
        <v>19</v>
      </c>
    </row>
    <row r="21" spans="1:9" x14ac:dyDescent="0.2">
      <c r="A21" t="s">
        <v>26</v>
      </c>
      <c r="B21">
        <v>85</v>
      </c>
      <c r="C21">
        <v>36</v>
      </c>
      <c r="D21">
        <v>75</v>
      </c>
      <c r="E21">
        <v>32</v>
      </c>
      <c r="F21">
        <v>160</v>
      </c>
      <c r="G21">
        <v>70</v>
      </c>
      <c r="H21">
        <v>49</v>
      </c>
      <c r="I21">
        <v>43</v>
      </c>
    </row>
    <row r="22" spans="1:9" x14ac:dyDescent="0.2">
      <c r="A22" t="s">
        <v>27</v>
      </c>
      <c r="B22">
        <v>85</v>
      </c>
      <c r="C22">
        <v>30</v>
      </c>
      <c r="D22">
        <v>75</v>
      </c>
      <c r="E22">
        <v>26</v>
      </c>
      <c r="F22">
        <v>160</v>
      </c>
      <c r="G22">
        <v>70</v>
      </c>
      <c r="H22">
        <v>55</v>
      </c>
      <c r="I22">
        <v>49</v>
      </c>
    </row>
    <row r="23" spans="1:9" x14ac:dyDescent="0.2">
      <c r="A23" t="s">
        <v>28</v>
      </c>
      <c r="B23">
        <v>205</v>
      </c>
      <c r="C23">
        <v>82</v>
      </c>
      <c r="D23">
        <v>15</v>
      </c>
      <c r="E23">
        <v>6</v>
      </c>
      <c r="F23">
        <v>220</v>
      </c>
      <c r="G23">
        <v>100</v>
      </c>
      <c r="H23">
        <v>123</v>
      </c>
      <c r="I23">
        <v>9</v>
      </c>
    </row>
    <row r="24" spans="1:9" x14ac:dyDescent="0.2">
      <c r="A24" t="s">
        <v>29</v>
      </c>
      <c r="B24">
        <v>252</v>
      </c>
      <c r="C24">
        <v>113</v>
      </c>
      <c r="D24">
        <v>8</v>
      </c>
      <c r="E24">
        <v>4</v>
      </c>
      <c r="F24">
        <v>260</v>
      </c>
      <c r="G24">
        <v>115</v>
      </c>
      <c r="H24">
        <v>139</v>
      </c>
      <c r="I24">
        <v>4</v>
      </c>
    </row>
    <row r="25" spans="1:9" x14ac:dyDescent="0.2">
      <c r="A25" t="s">
        <v>30</v>
      </c>
      <c r="B25">
        <v>245</v>
      </c>
      <c r="C25">
        <v>50</v>
      </c>
      <c r="D25">
        <v>15</v>
      </c>
      <c r="E25">
        <v>6</v>
      </c>
      <c r="F25">
        <v>260</v>
      </c>
      <c r="G25">
        <v>115</v>
      </c>
      <c r="H25">
        <v>195</v>
      </c>
      <c r="I25">
        <v>9</v>
      </c>
    </row>
    <row r="26" spans="1:9" x14ac:dyDescent="0.2">
      <c r="A26" t="s">
        <v>31</v>
      </c>
      <c r="B26">
        <v>185</v>
      </c>
      <c r="C26">
        <v>78</v>
      </c>
      <c r="D26">
        <v>15</v>
      </c>
      <c r="E26">
        <v>6</v>
      </c>
      <c r="F26">
        <v>200</v>
      </c>
      <c r="G26">
        <v>90</v>
      </c>
      <c r="H26">
        <v>107</v>
      </c>
      <c r="I26">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7885-DCC2-FE47-966A-CE593478CFE5}">
  <dimension ref="A3:B29"/>
  <sheetViews>
    <sheetView workbookViewId="0">
      <selection activeCell="A3" sqref="A3"/>
    </sheetView>
  </sheetViews>
  <sheetFormatPr baseColWidth="10" defaultRowHeight="16" x14ac:dyDescent="0.2"/>
  <cols>
    <col min="1" max="1" width="27.1640625" bestFit="1" customWidth="1"/>
    <col min="2" max="2" width="19.6640625" bestFit="1" customWidth="1"/>
    <col min="3" max="3" width="27.6640625" bestFit="1" customWidth="1"/>
    <col min="4" max="4" width="18.33203125" bestFit="1" customWidth="1"/>
    <col min="5" max="5" width="10.1640625" bestFit="1" customWidth="1"/>
    <col min="6" max="6" width="8.6640625" bestFit="1" customWidth="1"/>
    <col min="7" max="7" width="14.1640625" bestFit="1" customWidth="1"/>
    <col min="8" max="8" width="10" bestFit="1" customWidth="1"/>
    <col min="9" max="9" width="25" bestFit="1" customWidth="1"/>
    <col min="10" max="10" width="12.6640625" bestFit="1" customWidth="1"/>
    <col min="11" max="11" width="15.5" bestFit="1" customWidth="1"/>
    <col min="12" max="12" width="14.1640625" bestFit="1" customWidth="1"/>
    <col min="13" max="13" width="17.83203125" bestFit="1" customWidth="1"/>
    <col min="14" max="14" width="15.33203125" bestFit="1" customWidth="1"/>
    <col min="15" max="15" width="14.33203125" bestFit="1" customWidth="1"/>
    <col min="16" max="16" width="18.1640625" bestFit="1" customWidth="1"/>
    <col min="17" max="17" width="9.5" bestFit="1" customWidth="1"/>
    <col min="18" max="18" width="12.33203125" bestFit="1" customWidth="1"/>
    <col min="19" max="19" width="8.83203125" bestFit="1" customWidth="1"/>
    <col min="20" max="20" width="17" bestFit="1" customWidth="1"/>
    <col min="21" max="21" width="13.1640625" bestFit="1" customWidth="1"/>
    <col min="22" max="22" width="16.6640625" bestFit="1" customWidth="1"/>
    <col min="23" max="23" width="11.83203125" bestFit="1" customWidth="1"/>
    <col min="24" max="24" width="16.5" bestFit="1" customWidth="1"/>
    <col min="25" max="25" width="13.5" bestFit="1" customWidth="1"/>
    <col min="26" max="26" width="13.33203125" bestFit="1" customWidth="1"/>
    <col min="27" max="27" width="10.5" bestFit="1" customWidth="1"/>
  </cols>
  <sheetData>
    <row r="3" spans="1:2" x14ac:dyDescent="0.2">
      <c r="A3" s="11" t="s">
        <v>39</v>
      </c>
      <c r="B3" t="s">
        <v>64</v>
      </c>
    </row>
    <row r="4" spans="1:2" x14ac:dyDescent="0.2">
      <c r="A4" s="12" t="s">
        <v>9</v>
      </c>
      <c r="B4" s="5">
        <v>20</v>
      </c>
    </row>
    <row r="5" spans="1:2" x14ac:dyDescent="0.2">
      <c r="A5" s="12" t="s">
        <v>30</v>
      </c>
      <c r="B5" s="5">
        <v>20</v>
      </c>
    </row>
    <row r="6" spans="1:2" x14ac:dyDescent="0.2">
      <c r="A6" s="12" t="s">
        <v>22</v>
      </c>
      <c r="B6" s="5">
        <v>40</v>
      </c>
    </row>
    <row r="7" spans="1:2" x14ac:dyDescent="0.2">
      <c r="A7" s="12" t="s">
        <v>13</v>
      </c>
      <c r="B7" s="5">
        <v>45</v>
      </c>
    </row>
    <row r="8" spans="1:2" x14ac:dyDescent="0.2">
      <c r="A8" s="12" t="s">
        <v>7</v>
      </c>
      <c r="B8" s="5">
        <v>60</v>
      </c>
    </row>
    <row r="9" spans="1:2" x14ac:dyDescent="0.2">
      <c r="A9" s="12" t="s">
        <v>12</v>
      </c>
      <c r="B9" s="5">
        <v>60</v>
      </c>
    </row>
    <row r="10" spans="1:2" x14ac:dyDescent="0.2">
      <c r="A10" s="12" t="s">
        <v>28</v>
      </c>
      <c r="B10" s="5">
        <v>60</v>
      </c>
    </row>
    <row r="11" spans="1:2" x14ac:dyDescent="0.2">
      <c r="A11" s="12" t="s">
        <v>38</v>
      </c>
      <c r="B11" s="5">
        <v>60</v>
      </c>
    </row>
    <row r="12" spans="1:2" x14ac:dyDescent="0.2">
      <c r="A12" s="12" t="s">
        <v>8</v>
      </c>
      <c r="B12" s="5">
        <v>75</v>
      </c>
    </row>
    <row r="13" spans="1:2" x14ac:dyDescent="0.2">
      <c r="A13" s="12" t="s">
        <v>10</v>
      </c>
      <c r="B13" s="5">
        <v>85</v>
      </c>
    </row>
    <row r="14" spans="1:2" x14ac:dyDescent="0.2">
      <c r="A14" s="12" t="s">
        <v>27</v>
      </c>
      <c r="B14" s="5">
        <v>90</v>
      </c>
    </row>
    <row r="15" spans="1:2" x14ac:dyDescent="0.2">
      <c r="A15" s="12" t="s">
        <v>37</v>
      </c>
      <c r="B15" s="5">
        <v>95</v>
      </c>
    </row>
    <row r="16" spans="1:2" x14ac:dyDescent="0.2">
      <c r="A16" s="12" t="s">
        <v>26</v>
      </c>
      <c r="B16" s="5">
        <v>100</v>
      </c>
    </row>
    <row r="17" spans="1:2" x14ac:dyDescent="0.2">
      <c r="A17" s="12" t="s">
        <v>11</v>
      </c>
      <c r="B17" s="5">
        <v>102</v>
      </c>
    </row>
    <row r="18" spans="1:2" x14ac:dyDescent="0.2">
      <c r="A18" s="12" t="s">
        <v>19</v>
      </c>
      <c r="B18" s="5">
        <v>102</v>
      </c>
    </row>
    <row r="19" spans="1:2" x14ac:dyDescent="0.2">
      <c r="A19" s="12" t="s">
        <v>21</v>
      </c>
      <c r="B19" s="5">
        <v>104</v>
      </c>
    </row>
    <row r="20" spans="1:2" x14ac:dyDescent="0.2">
      <c r="A20" s="12" t="s">
        <v>35</v>
      </c>
      <c r="B20" s="5">
        <v>105</v>
      </c>
    </row>
    <row r="21" spans="1:2" x14ac:dyDescent="0.2">
      <c r="A21" s="12" t="s">
        <v>14</v>
      </c>
      <c r="B21" s="5">
        <v>108</v>
      </c>
    </row>
    <row r="22" spans="1:2" x14ac:dyDescent="0.2">
      <c r="A22" s="12" t="s">
        <v>15</v>
      </c>
      <c r="B22" s="5">
        <v>110</v>
      </c>
    </row>
    <row r="23" spans="1:2" x14ac:dyDescent="0.2">
      <c r="A23" s="12" t="s">
        <v>31</v>
      </c>
      <c r="B23" s="5">
        <v>110</v>
      </c>
    </row>
    <row r="24" spans="1:2" x14ac:dyDescent="0.2">
      <c r="A24" s="12" t="s">
        <v>36</v>
      </c>
      <c r="B24" s="5">
        <v>115</v>
      </c>
    </row>
    <row r="25" spans="1:2" x14ac:dyDescent="0.2">
      <c r="A25" s="12" t="s">
        <v>16</v>
      </c>
      <c r="B25" s="5">
        <v>115</v>
      </c>
    </row>
    <row r="26" spans="1:2" x14ac:dyDescent="0.2">
      <c r="A26" s="12" t="s">
        <v>17</v>
      </c>
      <c r="B26" s="5">
        <v>115</v>
      </c>
    </row>
    <row r="27" spans="1:2" x14ac:dyDescent="0.2">
      <c r="A27" s="12" t="s">
        <v>18</v>
      </c>
      <c r="B27" s="5">
        <v>118</v>
      </c>
    </row>
    <row r="28" spans="1:2" x14ac:dyDescent="0.2">
      <c r="A28" s="12" t="s">
        <v>24</v>
      </c>
      <c r="B28" s="5">
        <v>120</v>
      </c>
    </row>
    <row r="29" spans="1:2" x14ac:dyDescent="0.2">
      <c r="A29" s="12" t="s">
        <v>40</v>
      </c>
      <c r="B29" s="5">
        <v>2134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5A58-1962-A84C-AB92-83663BC83570}">
  <dimension ref="A3:C29"/>
  <sheetViews>
    <sheetView workbookViewId="0">
      <selection activeCell="A3" sqref="A3"/>
    </sheetView>
  </sheetViews>
  <sheetFormatPr baseColWidth="10" defaultRowHeight="16" x14ac:dyDescent="0.2"/>
  <cols>
    <col min="1" max="1" width="27.1640625" bestFit="1" customWidth="1"/>
    <col min="2" max="2" width="26.83203125" bestFit="1" customWidth="1"/>
    <col min="3" max="3" width="25.83203125" bestFit="1" customWidth="1"/>
    <col min="4" max="25" width="27.6640625" bestFit="1" customWidth="1"/>
    <col min="26" max="26" width="10.5" bestFit="1" customWidth="1"/>
  </cols>
  <sheetData>
    <row r="3" spans="1:3" x14ac:dyDescent="0.2">
      <c r="A3" s="11" t="s">
        <v>39</v>
      </c>
      <c r="B3" t="s">
        <v>66</v>
      </c>
      <c r="C3" t="s">
        <v>65</v>
      </c>
    </row>
    <row r="4" spans="1:3" x14ac:dyDescent="0.2">
      <c r="A4" s="12" t="s">
        <v>13</v>
      </c>
      <c r="B4" s="4">
        <v>0.45</v>
      </c>
      <c r="C4" s="4">
        <v>0.58823529411764708</v>
      </c>
    </row>
    <row r="5" spans="1:3" x14ac:dyDescent="0.2">
      <c r="A5" s="12" t="s">
        <v>9</v>
      </c>
      <c r="B5" s="4">
        <v>0.45454545454545453</v>
      </c>
      <c r="C5" s="4">
        <v>0.65</v>
      </c>
    </row>
    <row r="6" spans="1:3" x14ac:dyDescent="0.2">
      <c r="A6" s="12" t="s">
        <v>17</v>
      </c>
      <c r="B6" s="4">
        <v>0.45833333333333331</v>
      </c>
      <c r="C6" s="4">
        <v>0.65600000000000003</v>
      </c>
    </row>
    <row r="7" spans="1:3" x14ac:dyDescent="0.2">
      <c r="A7" s="12" t="s">
        <v>30</v>
      </c>
      <c r="B7" s="4">
        <v>0.44230769230769229</v>
      </c>
      <c r="C7" s="4">
        <v>0.66666666666666663</v>
      </c>
    </row>
    <row r="8" spans="1:3" x14ac:dyDescent="0.2">
      <c r="A8" s="12" t="s">
        <v>8</v>
      </c>
      <c r="B8" s="4">
        <v>0.45</v>
      </c>
      <c r="C8" s="4">
        <v>0.68</v>
      </c>
    </row>
    <row r="9" spans="1:3" x14ac:dyDescent="0.2">
      <c r="A9" s="12" t="s">
        <v>7</v>
      </c>
      <c r="B9" s="4">
        <v>0.45454545454545453</v>
      </c>
      <c r="C9" s="4">
        <v>0.6875</v>
      </c>
    </row>
    <row r="10" spans="1:3" x14ac:dyDescent="0.2">
      <c r="A10" s="12" t="s">
        <v>14</v>
      </c>
      <c r="B10" s="4">
        <v>0.44230769230769229</v>
      </c>
      <c r="C10" s="4">
        <v>0.69078947368421051</v>
      </c>
    </row>
    <row r="11" spans="1:3" x14ac:dyDescent="0.2">
      <c r="A11" s="12" t="s">
        <v>10</v>
      </c>
      <c r="B11" s="4">
        <v>0.45454545454545453</v>
      </c>
      <c r="C11" s="4">
        <v>0.70370370370370372</v>
      </c>
    </row>
    <row r="12" spans="1:3" x14ac:dyDescent="0.2">
      <c r="A12" s="12" t="s">
        <v>15</v>
      </c>
      <c r="B12" s="4">
        <v>0.45833333333333331</v>
      </c>
      <c r="C12" s="4">
        <v>0.70769230769230773</v>
      </c>
    </row>
    <row r="13" spans="1:3" x14ac:dyDescent="0.2">
      <c r="A13" s="12" t="s">
        <v>28</v>
      </c>
      <c r="B13" s="4">
        <v>0.45454545454545453</v>
      </c>
      <c r="C13" s="4">
        <v>0.71875</v>
      </c>
    </row>
    <row r="14" spans="1:3" x14ac:dyDescent="0.2">
      <c r="A14" s="12" t="s">
        <v>12</v>
      </c>
      <c r="B14" s="4">
        <v>0.45454545454545453</v>
      </c>
      <c r="C14" s="4">
        <v>0.71875</v>
      </c>
    </row>
    <row r="15" spans="1:3" x14ac:dyDescent="0.2">
      <c r="A15" s="12" t="s">
        <v>31</v>
      </c>
      <c r="B15" s="4">
        <v>0.45</v>
      </c>
      <c r="C15" s="4">
        <v>0.72222222222222221</v>
      </c>
    </row>
    <row r="16" spans="1:3" x14ac:dyDescent="0.2">
      <c r="A16" s="12" t="s">
        <v>38</v>
      </c>
      <c r="B16" s="4">
        <v>0.44230769230769229</v>
      </c>
      <c r="C16" s="4">
        <v>0.72499999999999998</v>
      </c>
    </row>
    <row r="17" spans="1:3" x14ac:dyDescent="0.2">
      <c r="A17" s="12" t="s">
        <v>16</v>
      </c>
      <c r="B17" s="4">
        <v>0.45454545454545453</v>
      </c>
      <c r="C17" s="4">
        <v>0.74285714285714288</v>
      </c>
    </row>
    <row r="18" spans="1:3" x14ac:dyDescent="0.2">
      <c r="A18" s="12" t="s">
        <v>18</v>
      </c>
      <c r="B18" s="4">
        <v>0.45454545454545453</v>
      </c>
      <c r="C18" s="4">
        <v>0.74509803921568629</v>
      </c>
    </row>
    <row r="19" spans="1:3" x14ac:dyDescent="0.2">
      <c r="A19" s="12" t="s">
        <v>11</v>
      </c>
      <c r="B19" s="4">
        <v>0.45454545454545453</v>
      </c>
      <c r="C19" s="4">
        <v>0.74576271186440679</v>
      </c>
    </row>
    <row r="20" spans="1:3" x14ac:dyDescent="0.2">
      <c r="A20" s="12" t="s">
        <v>22</v>
      </c>
      <c r="B20" s="4">
        <v>0.45454545454545453</v>
      </c>
      <c r="C20" s="4">
        <v>0.75</v>
      </c>
    </row>
    <row r="21" spans="1:3" x14ac:dyDescent="0.2">
      <c r="A21" s="12" t="s">
        <v>37</v>
      </c>
      <c r="B21" s="4">
        <v>0.44230769230769229</v>
      </c>
      <c r="C21" s="4">
        <v>0.75757575757575757</v>
      </c>
    </row>
    <row r="22" spans="1:3" x14ac:dyDescent="0.2">
      <c r="A22" s="12" t="s">
        <v>35</v>
      </c>
      <c r="B22" s="4">
        <v>0.45</v>
      </c>
      <c r="C22" s="4">
        <v>0.75789473684210529</v>
      </c>
    </row>
    <row r="23" spans="1:3" x14ac:dyDescent="0.2">
      <c r="A23" s="12" t="s">
        <v>19</v>
      </c>
      <c r="B23" s="4">
        <v>0.44230769230769229</v>
      </c>
      <c r="C23" s="4">
        <v>0.759493670886076</v>
      </c>
    </row>
    <row r="24" spans="1:3" x14ac:dyDescent="0.2">
      <c r="A24" s="12" t="s">
        <v>21</v>
      </c>
      <c r="B24" s="4">
        <v>0.44444444444444442</v>
      </c>
      <c r="C24" s="4">
        <v>0.76315789473684215</v>
      </c>
    </row>
    <row r="25" spans="1:3" x14ac:dyDescent="0.2">
      <c r="A25" s="12" t="s">
        <v>26</v>
      </c>
      <c r="B25" s="4">
        <v>0.4375</v>
      </c>
      <c r="C25" s="4">
        <v>0.83333333333333337</v>
      </c>
    </row>
    <row r="26" spans="1:3" x14ac:dyDescent="0.2">
      <c r="A26" s="12" t="s">
        <v>27</v>
      </c>
      <c r="B26" s="4">
        <v>0.4375</v>
      </c>
      <c r="C26" s="4">
        <v>0.8571428571428571</v>
      </c>
    </row>
    <row r="27" spans="1:3" x14ac:dyDescent="0.2">
      <c r="A27" s="12" t="s">
        <v>24</v>
      </c>
      <c r="B27" s="4">
        <v>0.44444444444444442</v>
      </c>
      <c r="C27" s="4">
        <v>1.1666666666666667</v>
      </c>
    </row>
    <row r="28" spans="1:3" x14ac:dyDescent="0.2">
      <c r="A28" s="12" t="s">
        <v>36</v>
      </c>
      <c r="B28" s="4">
        <v>0.4375</v>
      </c>
      <c r="C28" s="4">
        <v>1.3333333333333333</v>
      </c>
    </row>
    <row r="29" spans="1:3" x14ac:dyDescent="0.2">
      <c r="A29" s="12" t="s">
        <v>40</v>
      </c>
      <c r="B29" s="4">
        <v>11.220503108003106</v>
      </c>
      <c r="C29" s="4">
        <v>19.127625812540959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3D3EE-3806-6F44-9F4E-D93280C34746}">
  <dimension ref="A3:C29"/>
  <sheetViews>
    <sheetView workbookViewId="0">
      <selection activeCell="A3" sqref="A3"/>
    </sheetView>
  </sheetViews>
  <sheetFormatPr baseColWidth="10" defaultRowHeight="16" x14ac:dyDescent="0.2"/>
  <cols>
    <col min="1" max="1" width="27.1640625" bestFit="1" customWidth="1"/>
    <col min="2" max="2" width="18.33203125" bestFit="1" customWidth="1"/>
    <col min="3" max="3" width="18.5" bestFit="1" customWidth="1"/>
    <col min="4" max="50" width="27.6640625" bestFit="1" customWidth="1"/>
    <col min="51" max="51" width="22.83203125" bestFit="1" customWidth="1"/>
    <col min="52" max="52" width="23" bestFit="1" customWidth="1"/>
  </cols>
  <sheetData>
    <row r="3" spans="1:3" x14ac:dyDescent="0.2">
      <c r="A3" s="11" t="s">
        <v>39</v>
      </c>
      <c r="B3" t="s">
        <v>67</v>
      </c>
      <c r="C3" t="s">
        <v>68</v>
      </c>
    </row>
    <row r="4" spans="1:3" x14ac:dyDescent="0.2">
      <c r="A4" s="12" t="s">
        <v>35</v>
      </c>
      <c r="B4" s="5">
        <v>22</v>
      </c>
      <c r="C4" s="5">
        <v>10</v>
      </c>
    </row>
    <row r="5" spans="1:3" x14ac:dyDescent="0.2">
      <c r="A5" s="12" t="s">
        <v>37</v>
      </c>
      <c r="B5" s="5">
        <v>30</v>
      </c>
      <c r="C5" s="5">
        <v>5</v>
      </c>
    </row>
    <row r="6" spans="1:3" x14ac:dyDescent="0.2">
      <c r="A6" s="12" t="s">
        <v>36</v>
      </c>
      <c r="B6" s="5">
        <v>90</v>
      </c>
      <c r="C6" s="5">
        <v>45</v>
      </c>
    </row>
    <row r="7" spans="1:3" x14ac:dyDescent="0.2">
      <c r="A7" s="12" t="s">
        <v>38</v>
      </c>
      <c r="B7" s="5">
        <v>8</v>
      </c>
      <c r="C7" s="5">
        <v>0</v>
      </c>
    </row>
    <row r="8" spans="1:3" x14ac:dyDescent="0.2">
      <c r="A8" s="12" t="s">
        <v>26</v>
      </c>
      <c r="B8" s="5">
        <v>75</v>
      </c>
      <c r="C8" s="5">
        <v>20</v>
      </c>
    </row>
    <row r="9" spans="1:3" x14ac:dyDescent="0.2">
      <c r="A9" s="12" t="s">
        <v>10</v>
      </c>
      <c r="B9" s="5">
        <v>60</v>
      </c>
      <c r="C9" s="5">
        <v>25</v>
      </c>
    </row>
    <row r="10" spans="1:3" x14ac:dyDescent="0.2">
      <c r="A10" s="12" t="s">
        <v>14</v>
      </c>
      <c r="B10" s="5">
        <v>60</v>
      </c>
      <c r="C10" s="5">
        <v>22</v>
      </c>
    </row>
    <row r="11" spans="1:3" x14ac:dyDescent="0.2">
      <c r="A11" s="12" t="s">
        <v>7</v>
      </c>
      <c r="B11" s="5">
        <v>45</v>
      </c>
      <c r="C11" s="5">
        <v>20</v>
      </c>
    </row>
    <row r="12" spans="1:3" x14ac:dyDescent="0.2">
      <c r="A12" s="12" t="s">
        <v>21</v>
      </c>
      <c r="B12" s="5">
        <v>15</v>
      </c>
      <c r="C12" s="5">
        <v>6</v>
      </c>
    </row>
    <row r="13" spans="1:3" x14ac:dyDescent="0.2">
      <c r="A13" s="12" t="s">
        <v>16</v>
      </c>
      <c r="B13" s="5">
        <v>22</v>
      </c>
      <c r="C13" s="5">
        <v>10</v>
      </c>
    </row>
    <row r="14" spans="1:3" x14ac:dyDescent="0.2">
      <c r="A14" s="12" t="s">
        <v>9</v>
      </c>
      <c r="B14" s="5">
        <v>45</v>
      </c>
      <c r="C14" s="5">
        <v>20</v>
      </c>
    </row>
    <row r="15" spans="1:3" x14ac:dyDescent="0.2">
      <c r="A15" s="12" t="s">
        <v>18</v>
      </c>
      <c r="B15" s="5">
        <v>45</v>
      </c>
      <c r="C15" s="5">
        <v>12</v>
      </c>
    </row>
    <row r="16" spans="1:3" x14ac:dyDescent="0.2">
      <c r="A16" s="12" t="s">
        <v>13</v>
      </c>
      <c r="B16" s="5">
        <v>45</v>
      </c>
      <c r="C16" s="5">
        <v>15</v>
      </c>
    </row>
    <row r="17" spans="1:3" x14ac:dyDescent="0.2">
      <c r="A17" s="12" t="s">
        <v>30</v>
      </c>
      <c r="B17" s="5">
        <v>15</v>
      </c>
      <c r="C17" s="5">
        <v>0</v>
      </c>
    </row>
    <row r="18" spans="1:3" x14ac:dyDescent="0.2">
      <c r="A18" s="12" t="s">
        <v>24</v>
      </c>
      <c r="B18" s="5">
        <v>105</v>
      </c>
      <c r="C18" s="5">
        <v>60</v>
      </c>
    </row>
    <row r="19" spans="1:3" x14ac:dyDescent="0.2">
      <c r="A19" s="12" t="s">
        <v>15</v>
      </c>
      <c r="B19" s="5">
        <v>45</v>
      </c>
      <c r="C19" s="5">
        <v>20</v>
      </c>
    </row>
    <row r="20" spans="1:3" x14ac:dyDescent="0.2">
      <c r="A20" s="12" t="s">
        <v>11</v>
      </c>
      <c r="B20" s="5">
        <v>52</v>
      </c>
      <c r="C20" s="5">
        <v>18</v>
      </c>
    </row>
    <row r="21" spans="1:3" x14ac:dyDescent="0.2">
      <c r="A21" s="12" t="s">
        <v>19</v>
      </c>
      <c r="B21" s="5">
        <v>38</v>
      </c>
      <c r="C21" s="5">
        <v>18</v>
      </c>
    </row>
    <row r="22" spans="1:3" x14ac:dyDescent="0.2">
      <c r="A22" s="12" t="s">
        <v>12</v>
      </c>
      <c r="B22" s="5">
        <v>30</v>
      </c>
      <c r="C22" s="5">
        <v>10</v>
      </c>
    </row>
    <row r="23" spans="1:3" x14ac:dyDescent="0.2">
      <c r="A23" s="12" t="s">
        <v>31</v>
      </c>
      <c r="B23" s="5">
        <v>15</v>
      </c>
      <c r="C23" s="5">
        <v>0</v>
      </c>
    </row>
    <row r="24" spans="1:3" x14ac:dyDescent="0.2">
      <c r="A24" s="12" t="s">
        <v>22</v>
      </c>
      <c r="B24" s="5">
        <v>30</v>
      </c>
      <c r="C24" s="5">
        <v>10</v>
      </c>
    </row>
    <row r="25" spans="1:3" x14ac:dyDescent="0.2">
      <c r="A25" s="12" t="s">
        <v>17</v>
      </c>
      <c r="B25" s="5">
        <v>38</v>
      </c>
      <c r="C25" s="5">
        <v>15</v>
      </c>
    </row>
    <row r="26" spans="1:3" x14ac:dyDescent="0.2">
      <c r="A26" s="12" t="s">
        <v>28</v>
      </c>
      <c r="B26" s="5">
        <v>15</v>
      </c>
      <c r="C26" s="5">
        <v>0</v>
      </c>
    </row>
    <row r="27" spans="1:3" x14ac:dyDescent="0.2">
      <c r="A27" s="12" t="s">
        <v>27</v>
      </c>
      <c r="B27" s="5">
        <v>75</v>
      </c>
      <c r="C27" s="5">
        <v>20</v>
      </c>
    </row>
    <row r="28" spans="1:3" x14ac:dyDescent="0.2">
      <c r="A28" s="12" t="s">
        <v>8</v>
      </c>
      <c r="B28" s="5">
        <v>60</v>
      </c>
      <c r="C28" s="5">
        <v>25</v>
      </c>
    </row>
    <row r="29" spans="1:3" x14ac:dyDescent="0.2">
      <c r="A29" s="12" t="s">
        <v>40</v>
      </c>
      <c r="B29" s="5">
        <v>1080</v>
      </c>
      <c r="C29" s="5">
        <v>406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6EC1-CB31-C546-9DD4-6A82CC9A425A}">
  <dimension ref="A3:C29"/>
  <sheetViews>
    <sheetView workbookViewId="0">
      <selection activeCell="A3" sqref="A3"/>
    </sheetView>
  </sheetViews>
  <sheetFormatPr baseColWidth="10" defaultRowHeight="16" x14ac:dyDescent="0.2"/>
  <cols>
    <col min="1" max="1" width="27.1640625" bestFit="1" customWidth="1"/>
    <col min="2" max="2" width="24.6640625" bestFit="1" customWidth="1"/>
    <col min="3" max="3" width="23.83203125" bestFit="1" customWidth="1"/>
    <col min="4" max="26" width="7.1640625" bestFit="1" customWidth="1"/>
    <col min="27" max="27" width="10.5" bestFit="1" customWidth="1"/>
  </cols>
  <sheetData>
    <row r="3" spans="1:3" x14ac:dyDescent="0.2">
      <c r="A3" s="11" t="s">
        <v>39</v>
      </c>
      <c r="B3" t="s">
        <v>69</v>
      </c>
      <c r="C3" t="s">
        <v>70</v>
      </c>
    </row>
    <row r="4" spans="1:3" x14ac:dyDescent="0.2">
      <c r="A4" s="12" t="s">
        <v>31</v>
      </c>
      <c r="B4" s="14">
        <v>0.57999999999999996</v>
      </c>
      <c r="C4" s="17">
        <v>0.66666666666666663</v>
      </c>
    </row>
    <row r="5" spans="1:3" x14ac:dyDescent="0.2">
      <c r="A5" s="12" t="s">
        <v>28</v>
      </c>
      <c r="B5" s="14">
        <v>0.6</v>
      </c>
      <c r="C5" s="17">
        <v>0.6875</v>
      </c>
    </row>
    <row r="6" spans="1:3" x14ac:dyDescent="0.2">
      <c r="A6" s="12" t="s">
        <v>30</v>
      </c>
      <c r="B6" s="14">
        <v>0.7846153846153846</v>
      </c>
      <c r="C6" s="17">
        <v>0.70833333333333337</v>
      </c>
    </row>
    <row r="7" spans="1:3" x14ac:dyDescent="0.2">
      <c r="A7" s="12" t="s">
        <v>38</v>
      </c>
      <c r="B7" s="14">
        <v>0.55000000000000004</v>
      </c>
      <c r="C7" s="17">
        <v>0.75</v>
      </c>
    </row>
    <row r="8" spans="1:3" x14ac:dyDescent="0.2">
      <c r="A8" s="12" t="s">
        <v>10</v>
      </c>
      <c r="B8" s="14">
        <v>0.61818181818181817</v>
      </c>
      <c r="C8" s="17">
        <v>0.77777777777777779</v>
      </c>
    </row>
    <row r="9" spans="1:3" x14ac:dyDescent="0.2">
      <c r="A9" s="12" t="s">
        <v>13</v>
      </c>
      <c r="B9" s="14">
        <v>0.74</v>
      </c>
      <c r="C9" s="17">
        <v>0.79607843137254897</v>
      </c>
    </row>
    <row r="10" spans="1:3" x14ac:dyDescent="0.2">
      <c r="A10" s="12" t="s">
        <v>9</v>
      </c>
      <c r="B10" s="14">
        <v>0.55000000000000004</v>
      </c>
      <c r="C10" s="17">
        <v>0.80500000000000005</v>
      </c>
    </row>
    <row r="11" spans="1:3" x14ac:dyDescent="0.2">
      <c r="A11" s="12" t="s">
        <v>14</v>
      </c>
      <c r="B11" s="14">
        <v>0.43461538461538463</v>
      </c>
      <c r="C11" s="17">
        <v>0.80921052631578949</v>
      </c>
    </row>
    <row r="12" spans="1:3" x14ac:dyDescent="0.2">
      <c r="A12" s="12" t="s">
        <v>16</v>
      </c>
      <c r="B12" s="14">
        <v>0.58181818181818179</v>
      </c>
      <c r="C12" s="17">
        <v>0.80952380952380953</v>
      </c>
    </row>
    <row r="13" spans="1:3" x14ac:dyDescent="0.2">
      <c r="A13" s="12" t="s">
        <v>22</v>
      </c>
      <c r="B13" s="14">
        <v>0.45454545454545453</v>
      </c>
      <c r="C13" s="17">
        <v>0.81111111111111112</v>
      </c>
    </row>
    <row r="14" spans="1:3" x14ac:dyDescent="0.2">
      <c r="A14" s="12" t="s">
        <v>37</v>
      </c>
      <c r="B14" s="14">
        <v>0.62307692307692308</v>
      </c>
      <c r="C14" s="17">
        <v>0.81212121212121213</v>
      </c>
    </row>
    <row r="15" spans="1:3" x14ac:dyDescent="0.2">
      <c r="A15" s="12" t="s">
        <v>12</v>
      </c>
      <c r="B15" s="14">
        <v>0.65454545454545454</v>
      </c>
      <c r="C15" s="17">
        <v>0.8125</v>
      </c>
    </row>
    <row r="16" spans="1:3" x14ac:dyDescent="0.2">
      <c r="A16" s="12" t="s">
        <v>18</v>
      </c>
      <c r="B16" s="14">
        <v>0.6</v>
      </c>
      <c r="C16" s="17">
        <v>0.81372549019607843</v>
      </c>
    </row>
    <row r="17" spans="1:3" x14ac:dyDescent="0.2">
      <c r="A17" s="12" t="s">
        <v>27</v>
      </c>
      <c r="B17" s="14">
        <v>0.65</v>
      </c>
      <c r="C17" s="17">
        <v>0.81428571428571428</v>
      </c>
    </row>
    <row r="18" spans="1:3" x14ac:dyDescent="0.2">
      <c r="A18" s="12" t="s">
        <v>15</v>
      </c>
      <c r="B18" s="14">
        <v>0.62083333333333335</v>
      </c>
      <c r="C18" s="17">
        <v>0.81538461538461537</v>
      </c>
    </row>
    <row r="19" spans="1:3" x14ac:dyDescent="0.2">
      <c r="A19" s="12" t="s">
        <v>17</v>
      </c>
      <c r="B19" s="14">
        <v>0.65</v>
      </c>
      <c r="C19" s="17">
        <v>0.81599999999999995</v>
      </c>
    </row>
    <row r="20" spans="1:3" x14ac:dyDescent="0.2">
      <c r="A20" s="12" t="s">
        <v>19</v>
      </c>
      <c r="B20" s="14">
        <v>0.43461538461538463</v>
      </c>
      <c r="C20" s="17">
        <v>0.81645569620253167</v>
      </c>
    </row>
    <row r="21" spans="1:3" x14ac:dyDescent="0.2">
      <c r="A21" s="12" t="s">
        <v>11</v>
      </c>
      <c r="B21" s="14">
        <v>0.57727272727272727</v>
      </c>
      <c r="C21" s="17">
        <v>0.82203389830508478</v>
      </c>
    </row>
    <row r="22" spans="1:3" x14ac:dyDescent="0.2">
      <c r="A22" s="12" t="s">
        <v>21</v>
      </c>
      <c r="B22" s="14">
        <v>0.58333333333333337</v>
      </c>
      <c r="C22" s="17">
        <v>0.82894736842105265</v>
      </c>
    </row>
    <row r="23" spans="1:3" x14ac:dyDescent="0.2">
      <c r="A23" s="12" t="s">
        <v>35</v>
      </c>
      <c r="B23" s="14">
        <v>0.62</v>
      </c>
      <c r="C23" s="17">
        <v>0.83157894736842108</v>
      </c>
    </row>
    <row r="24" spans="1:3" x14ac:dyDescent="0.2">
      <c r="A24" s="12" t="s">
        <v>26</v>
      </c>
      <c r="B24" s="14">
        <v>0.57499999999999996</v>
      </c>
      <c r="C24" s="17">
        <v>0.83333333333333337</v>
      </c>
    </row>
    <row r="25" spans="1:3" x14ac:dyDescent="0.2">
      <c r="A25" s="12" t="s">
        <v>7</v>
      </c>
      <c r="B25" s="14">
        <v>0.47727272727272729</v>
      </c>
      <c r="C25" s="17">
        <v>0.83750000000000002</v>
      </c>
    </row>
    <row r="26" spans="1:3" x14ac:dyDescent="0.2">
      <c r="A26" s="12" t="s">
        <v>8</v>
      </c>
      <c r="B26" s="14">
        <v>0.73</v>
      </c>
      <c r="C26" s="17">
        <v>0.84</v>
      </c>
    </row>
    <row r="27" spans="1:3" x14ac:dyDescent="0.2">
      <c r="A27" s="12" t="s">
        <v>24</v>
      </c>
      <c r="B27" s="14">
        <v>0.55000000000000004</v>
      </c>
      <c r="C27" s="17">
        <v>1.6666666666666667</v>
      </c>
    </row>
    <row r="28" spans="1:3" x14ac:dyDescent="0.2">
      <c r="A28" s="12" t="s">
        <v>36</v>
      </c>
      <c r="B28" s="14">
        <v>0.6</v>
      </c>
      <c r="C28" s="17">
        <v>1.6888888888888889</v>
      </c>
    </row>
    <row r="29" spans="1:3" x14ac:dyDescent="0.2">
      <c r="A29" s="12" t="s">
        <v>40</v>
      </c>
      <c r="B29" s="14">
        <v>14.83972610722611</v>
      </c>
      <c r="C29" s="17">
        <v>21.670623487274636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A0B28-EFBE-E940-ABFA-592F04BFEEDD}">
  <dimension ref="A3:C29"/>
  <sheetViews>
    <sheetView workbookViewId="0">
      <selection activeCell="A3" sqref="A3"/>
    </sheetView>
  </sheetViews>
  <sheetFormatPr baseColWidth="10" defaultRowHeight="16" x14ac:dyDescent="0.2"/>
  <cols>
    <col min="1" max="1" width="27.1640625" bestFit="1" customWidth="1"/>
    <col min="2" max="2" width="28.83203125" bestFit="1" customWidth="1"/>
    <col min="3" max="3" width="29.6640625" bestFit="1" customWidth="1"/>
  </cols>
  <sheetData>
    <row r="3" spans="1:3" x14ac:dyDescent="0.2">
      <c r="A3" s="11" t="s">
        <v>39</v>
      </c>
      <c r="B3" t="s">
        <v>73</v>
      </c>
      <c r="C3" t="s">
        <v>74</v>
      </c>
    </row>
    <row r="4" spans="1:3" x14ac:dyDescent="0.2">
      <c r="A4" s="12" t="s">
        <v>35</v>
      </c>
      <c r="B4" s="4">
        <v>0.91139240506329111</v>
      </c>
      <c r="C4" s="4">
        <v>0.72580645161290325</v>
      </c>
    </row>
    <row r="5" spans="1:3" x14ac:dyDescent="0.2">
      <c r="A5" s="12" t="s">
        <v>37</v>
      </c>
      <c r="B5" s="4">
        <v>0.93283582089552242</v>
      </c>
      <c r="C5" s="4">
        <v>0.70987654320987659</v>
      </c>
    </row>
    <row r="6" spans="1:3" x14ac:dyDescent="0.2">
      <c r="A6" s="12" t="s">
        <v>36</v>
      </c>
      <c r="B6" s="4">
        <v>0.78947368421052633</v>
      </c>
      <c r="C6" s="4">
        <v>0.72916666666666663</v>
      </c>
    </row>
    <row r="7" spans="1:3" x14ac:dyDescent="0.2">
      <c r="A7" s="12" t="s">
        <v>38</v>
      </c>
      <c r="B7" s="4">
        <v>0.96666666666666667</v>
      </c>
      <c r="C7" s="4">
        <v>0.80419580419580416</v>
      </c>
    </row>
    <row r="8" spans="1:3" x14ac:dyDescent="0.2">
      <c r="A8" s="12" t="s">
        <v>26</v>
      </c>
      <c r="B8" s="4">
        <v>1</v>
      </c>
      <c r="C8" s="4">
        <v>0.76086956521739135</v>
      </c>
    </row>
    <row r="9" spans="1:3" x14ac:dyDescent="0.2">
      <c r="A9" s="12" t="s">
        <v>10</v>
      </c>
      <c r="B9" s="4">
        <v>0.90476190476190477</v>
      </c>
      <c r="C9" s="4">
        <v>0.73529411764705888</v>
      </c>
    </row>
    <row r="10" spans="1:3" x14ac:dyDescent="0.2">
      <c r="A10" s="12" t="s">
        <v>14</v>
      </c>
      <c r="B10" s="4">
        <v>0.85365853658536583</v>
      </c>
      <c r="C10" s="4">
        <v>1.0176991150442478</v>
      </c>
    </row>
    <row r="11" spans="1:3" x14ac:dyDescent="0.2">
      <c r="A11" s="12" t="s">
        <v>7</v>
      </c>
      <c r="B11" s="4">
        <v>0.82089552238805974</v>
      </c>
      <c r="C11" s="4">
        <v>0.95238095238095233</v>
      </c>
    </row>
    <row r="12" spans="1:3" x14ac:dyDescent="0.2">
      <c r="A12" s="12" t="s">
        <v>21</v>
      </c>
      <c r="B12" s="4">
        <v>0.92063492063492058</v>
      </c>
      <c r="C12" s="4">
        <v>0.76190476190476186</v>
      </c>
    </row>
    <row r="13" spans="1:3" x14ac:dyDescent="0.2">
      <c r="A13" s="12" t="s">
        <v>16</v>
      </c>
      <c r="B13" s="4">
        <v>0.91764705882352937</v>
      </c>
      <c r="C13" s="4">
        <v>0.78125</v>
      </c>
    </row>
    <row r="14" spans="1:3" x14ac:dyDescent="0.2">
      <c r="A14" s="12" t="s">
        <v>9</v>
      </c>
      <c r="B14" s="4">
        <v>0.80745341614906829</v>
      </c>
      <c r="C14" s="4">
        <v>0.82644628099173556</v>
      </c>
    </row>
    <row r="15" spans="1:3" x14ac:dyDescent="0.2">
      <c r="A15" s="12" t="s">
        <v>18</v>
      </c>
      <c r="B15" s="4">
        <v>0.91566265060240959</v>
      </c>
      <c r="C15" s="4">
        <v>0.75757575757575757</v>
      </c>
    </row>
    <row r="16" spans="1:3" x14ac:dyDescent="0.2">
      <c r="A16" s="12" t="s">
        <v>13</v>
      </c>
      <c r="B16" s="4">
        <v>0.73891625615763545</v>
      </c>
      <c r="C16" s="4">
        <v>0.60810810810810811</v>
      </c>
    </row>
    <row r="17" spans="1:3" x14ac:dyDescent="0.2">
      <c r="A17" s="12" t="s">
        <v>30</v>
      </c>
      <c r="B17" s="4">
        <v>0.94117647058823528</v>
      </c>
      <c r="C17" s="4">
        <v>0.56372549019607843</v>
      </c>
    </row>
    <row r="18" spans="1:3" x14ac:dyDescent="0.2">
      <c r="A18" s="12" t="s">
        <v>24</v>
      </c>
      <c r="B18" s="4">
        <v>0.7</v>
      </c>
      <c r="C18" s="4">
        <v>0.80808080808080807</v>
      </c>
    </row>
    <row r="19" spans="1:3" x14ac:dyDescent="0.2">
      <c r="A19" s="12" t="s">
        <v>15</v>
      </c>
      <c r="B19" s="4">
        <v>0.86792452830188682</v>
      </c>
      <c r="C19" s="4">
        <v>0.73825503355704702</v>
      </c>
    </row>
    <row r="20" spans="1:3" x14ac:dyDescent="0.2">
      <c r="A20" s="12" t="s">
        <v>11</v>
      </c>
      <c r="B20" s="4">
        <v>0.90721649484536082</v>
      </c>
      <c r="C20" s="4">
        <v>0.78740157480314965</v>
      </c>
    </row>
    <row r="21" spans="1:3" x14ac:dyDescent="0.2">
      <c r="A21" s="12" t="s">
        <v>19</v>
      </c>
      <c r="B21" s="4">
        <v>0.93023255813953487</v>
      </c>
      <c r="C21" s="4">
        <v>1.0176991150442478</v>
      </c>
    </row>
    <row r="22" spans="1:3" x14ac:dyDescent="0.2">
      <c r="A22" s="12" t="s">
        <v>12</v>
      </c>
      <c r="B22" s="4">
        <v>0.88461538461538458</v>
      </c>
      <c r="C22" s="4">
        <v>0.69444444444444442</v>
      </c>
    </row>
    <row r="23" spans="1:3" x14ac:dyDescent="0.2">
      <c r="A23" s="12" t="s">
        <v>31</v>
      </c>
      <c r="B23" s="4">
        <v>1.0833333333333333</v>
      </c>
      <c r="C23" s="4">
        <v>0.77586206896551724</v>
      </c>
    </row>
    <row r="24" spans="1:3" x14ac:dyDescent="0.2">
      <c r="A24" s="12" t="s">
        <v>22</v>
      </c>
      <c r="B24" s="4">
        <v>0.92465753424657537</v>
      </c>
      <c r="C24" s="4">
        <v>1</v>
      </c>
    </row>
    <row r="25" spans="1:3" x14ac:dyDescent="0.2">
      <c r="A25" s="12" t="s">
        <v>17</v>
      </c>
      <c r="B25" s="4">
        <v>0.80392156862745101</v>
      </c>
      <c r="C25" s="4">
        <v>0.70512820512820518</v>
      </c>
    </row>
    <row r="26" spans="1:3" x14ac:dyDescent="0.2">
      <c r="A26" s="12" t="s">
        <v>28</v>
      </c>
      <c r="B26" s="4">
        <v>1.0454545454545454</v>
      </c>
      <c r="C26" s="4">
        <v>0.75757575757575757</v>
      </c>
    </row>
    <row r="27" spans="1:3" x14ac:dyDescent="0.2">
      <c r="A27" s="12" t="s">
        <v>27</v>
      </c>
      <c r="B27" s="4">
        <v>1.0526315789473684</v>
      </c>
      <c r="C27" s="4">
        <v>0.67307692307692313</v>
      </c>
    </row>
    <row r="28" spans="1:3" x14ac:dyDescent="0.2">
      <c r="A28" s="12" t="s">
        <v>8</v>
      </c>
      <c r="B28" s="4">
        <v>0.80952380952380953</v>
      </c>
      <c r="C28" s="4">
        <v>0.61643835616438358</v>
      </c>
    </row>
    <row r="29" spans="1:3" x14ac:dyDescent="0.2">
      <c r="A29" s="12" t="s">
        <v>40</v>
      </c>
      <c r="B29" s="4">
        <v>22.430686649562386</v>
      </c>
      <c r="C29" s="4">
        <v>19.30826190159183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7640-3C7E-2641-A736-7E3E2D018365}">
  <dimension ref="A2:P61"/>
  <sheetViews>
    <sheetView topLeftCell="C1" zoomScale="95" workbookViewId="0">
      <selection activeCell="A3" sqref="A3"/>
    </sheetView>
  </sheetViews>
  <sheetFormatPr baseColWidth="10" defaultRowHeight="16" x14ac:dyDescent="0.2"/>
  <cols>
    <col min="1" max="1" width="22.1640625" bestFit="1" customWidth="1"/>
    <col min="2" max="2" width="5.5" bestFit="1" customWidth="1"/>
    <col min="3" max="3" width="22" bestFit="1" customWidth="1"/>
    <col min="5" max="5" width="26.33203125" bestFit="1" customWidth="1"/>
    <col min="6" max="6" width="4.33203125" bestFit="1" customWidth="1"/>
    <col min="7" max="7" width="26.1640625" bestFit="1" customWidth="1"/>
    <col min="8" max="8" width="27.1640625" bestFit="1" customWidth="1"/>
    <col min="9" max="9" width="27.83203125" bestFit="1" customWidth="1"/>
    <col min="10" max="10" width="27" bestFit="1" customWidth="1"/>
    <col min="12" max="12" width="27.1640625" bestFit="1" customWidth="1"/>
    <col min="13" max="13" width="29.33203125" bestFit="1" customWidth="1"/>
    <col min="14" max="14" width="27.6640625" bestFit="1" customWidth="1"/>
    <col min="15" max="15" width="18.33203125" bestFit="1" customWidth="1"/>
    <col min="16" max="16" width="10.1640625" bestFit="1" customWidth="1"/>
    <col min="17" max="17" width="8.6640625" bestFit="1" customWidth="1"/>
    <col min="18" max="18" width="14.1640625" bestFit="1" customWidth="1"/>
    <col min="19" max="19" width="10" bestFit="1" customWidth="1"/>
    <col min="20" max="20" width="25" bestFit="1" customWidth="1"/>
    <col min="21" max="21" width="12.6640625" bestFit="1" customWidth="1"/>
    <col min="22" max="22" width="15.5" bestFit="1" customWidth="1"/>
    <col min="23" max="23" width="14.1640625" bestFit="1" customWidth="1"/>
    <col min="24" max="24" width="17.83203125" bestFit="1" customWidth="1"/>
    <col min="25" max="25" width="15.33203125" bestFit="1" customWidth="1"/>
    <col min="26" max="26" width="14.33203125" bestFit="1" customWidth="1"/>
    <col min="27" max="27" width="18.1640625" bestFit="1" customWidth="1"/>
    <col min="28" max="28" width="9.5" bestFit="1" customWidth="1"/>
    <col min="29" max="29" width="12.33203125" bestFit="1" customWidth="1"/>
    <col min="30" max="30" width="8.83203125" bestFit="1" customWidth="1"/>
    <col min="31" max="31" width="17" bestFit="1" customWidth="1"/>
    <col min="32" max="32" width="13.1640625" bestFit="1" customWidth="1"/>
    <col min="33" max="33" width="16.6640625" bestFit="1" customWidth="1"/>
    <col min="34" max="34" width="11.83203125" bestFit="1" customWidth="1"/>
    <col min="35" max="35" width="16.5" bestFit="1" customWidth="1"/>
    <col min="36" max="36" width="13.5" bestFit="1" customWidth="1"/>
    <col min="37" max="37" width="13.33203125" bestFit="1" customWidth="1"/>
    <col min="38" max="38" width="10.5" bestFit="1" customWidth="1"/>
  </cols>
  <sheetData>
    <row r="2" spans="1:16" x14ac:dyDescent="0.2">
      <c r="A2" s="21" t="s">
        <v>79</v>
      </c>
    </row>
    <row r="3" spans="1:16" x14ac:dyDescent="0.2">
      <c r="A3" s="11" t="s">
        <v>87</v>
      </c>
    </row>
    <row r="4" spans="1:16" x14ac:dyDescent="0.2">
      <c r="A4" s="12" t="s">
        <v>76</v>
      </c>
      <c r="B4" s="5">
        <v>3269</v>
      </c>
      <c r="E4" t="s">
        <v>80</v>
      </c>
      <c r="H4" t="s">
        <v>88</v>
      </c>
    </row>
    <row r="5" spans="1:16" x14ac:dyDescent="0.2">
      <c r="A5" s="12" t="s">
        <v>75</v>
      </c>
      <c r="B5" s="5">
        <v>2758</v>
      </c>
      <c r="E5" s="11" t="s">
        <v>87</v>
      </c>
      <c r="H5" s="11" t="s">
        <v>39</v>
      </c>
      <c r="I5" t="s">
        <v>76</v>
      </c>
      <c r="J5" t="s">
        <v>75</v>
      </c>
      <c r="L5" s="20" t="s">
        <v>89</v>
      </c>
      <c r="M5" s="20"/>
      <c r="N5" s="20"/>
    </row>
    <row r="6" spans="1:16" x14ac:dyDescent="0.2">
      <c r="E6" s="12" t="s">
        <v>78</v>
      </c>
      <c r="F6" s="5">
        <v>5500</v>
      </c>
      <c r="H6" s="12" t="s">
        <v>35</v>
      </c>
      <c r="I6" s="5">
        <v>124</v>
      </c>
      <c r="J6" s="5">
        <v>79</v>
      </c>
      <c r="L6" s="11" t="s">
        <v>39</v>
      </c>
      <c r="M6" t="s">
        <v>77</v>
      </c>
      <c r="O6" s="20"/>
      <c r="P6" s="20"/>
    </row>
    <row r="7" spans="1:16" x14ac:dyDescent="0.2">
      <c r="E7" s="12" t="s">
        <v>77</v>
      </c>
      <c r="F7" s="5">
        <v>3366</v>
      </c>
      <c r="H7" s="12" t="s">
        <v>37</v>
      </c>
      <c r="I7" s="5">
        <v>162</v>
      </c>
      <c r="J7" s="5">
        <v>134</v>
      </c>
      <c r="L7" s="12" t="s">
        <v>35</v>
      </c>
      <c r="M7" s="5">
        <v>95</v>
      </c>
      <c r="O7" s="12"/>
      <c r="P7" s="5"/>
    </row>
    <row r="8" spans="1:16" x14ac:dyDescent="0.2">
      <c r="H8" s="12" t="s">
        <v>36</v>
      </c>
      <c r="I8" s="5">
        <v>96</v>
      </c>
      <c r="J8" s="5">
        <v>76</v>
      </c>
      <c r="L8" s="12" t="s">
        <v>37</v>
      </c>
      <c r="M8" s="5">
        <v>165</v>
      </c>
      <c r="O8" s="12"/>
      <c r="P8" s="5"/>
    </row>
    <row r="9" spans="1:16" x14ac:dyDescent="0.2">
      <c r="H9" s="12" t="s">
        <v>38</v>
      </c>
      <c r="I9" s="5">
        <v>143</v>
      </c>
      <c r="J9" s="5">
        <v>150</v>
      </c>
      <c r="L9" s="12" t="s">
        <v>36</v>
      </c>
      <c r="M9" s="5">
        <v>45</v>
      </c>
      <c r="O9" s="12"/>
      <c r="P9" s="5"/>
    </row>
    <row r="10" spans="1:16" x14ac:dyDescent="0.2">
      <c r="H10" s="12" t="s">
        <v>26</v>
      </c>
      <c r="I10" s="5">
        <v>92</v>
      </c>
      <c r="J10" s="5">
        <v>50</v>
      </c>
      <c r="L10" s="12" t="s">
        <v>38</v>
      </c>
      <c r="M10" s="5">
        <v>200</v>
      </c>
      <c r="O10" s="12"/>
      <c r="P10" s="5"/>
    </row>
    <row r="11" spans="1:16" x14ac:dyDescent="0.2">
      <c r="H11" s="12" t="s">
        <v>10</v>
      </c>
      <c r="I11" s="5">
        <v>136</v>
      </c>
      <c r="J11" s="5">
        <v>105</v>
      </c>
      <c r="L11" s="12" t="s">
        <v>26</v>
      </c>
      <c r="M11" s="5">
        <v>60</v>
      </c>
      <c r="O11" s="12"/>
      <c r="P11" s="5"/>
    </row>
    <row r="12" spans="1:16" x14ac:dyDescent="0.2">
      <c r="H12" s="12" t="s">
        <v>14</v>
      </c>
      <c r="I12" s="5">
        <v>113</v>
      </c>
      <c r="J12" s="5">
        <v>123</v>
      </c>
      <c r="L12" s="12" t="s">
        <v>10</v>
      </c>
      <c r="M12" s="5">
        <v>135</v>
      </c>
      <c r="O12" s="12"/>
      <c r="P12" s="5"/>
    </row>
    <row r="13" spans="1:16" x14ac:dyDescent="0.2">
      <c r="H13" s="12" t="s">
        <v>7</v>
      </c>
      <c r="I13" s="5">
        <v>105</v>
      </c>
      <c r="J13" s="5">
        <v>134</v>
      </c>
      <c r="L13" s="12" t="s">
        <v>14</v>
      </c>
      <c r="M13" s="5">
        <v>152</v>
      </c>
      <c r="O13" s="12"/>
      <c r="P13" s="5"/>
    </row>
    <row r="14" spans="1:16" x14ac:dyDescent="0.2">
      <c r="H14" s="12" t="s">
        <v>21</v>
      </c>
      <c r="I14" s="5">
        <v>105</v>
      </c>
      <c r="J14" s="5">
        <v>63</v>
      </c>
      <c r="L14" s="12" t="s">
        <v>7</v>
      </c>
      <c r="M14" s="5">
        <v>160</v>
      </c>
      <c r="O14" s="12"/>
      <c r="P14" s="5"/>
    </row>
    <row r="15" spans="1:16" x14ac:dyDescent="0.2">
      <c r="H15" s="12" t="s">
        <v>16</v>
      </c>
      <c r="I15" s="5">
        <v>128</v>
      </c>
      <c r="J15" s="5">
        <v>85</v>
      </c>
      <c r="L15" s="12" t="s">
        <v>21</v>
      </c>
      <c r="M15" s="5">
        <v>76</v>
      </c>
      <c r="O15" s="12"/>
      <c r="P15" s="5"/>
    </row>
    <row r="16" spans="1:16" x14ac:dyDescent="0.2">
      <c r="H16" s="12" t="s">
        <v>9</v>
      </c>
      <c r="I16" s="5">
        <v>121</v>
      </c>
      <c r="J16" s="5">
        <v>161</v>
      </c>
      <c r="L16" s="12" t="s">
        <v>16</v>
      </c>
      <c r="M16" s="5">
        <v>105</v>
      </c>
      <c r="O16" s="12"/>
      <c r="P16" s="5"/>
    </row>
    <row r="17" spans="8:16" x14ac:dyDescent="0.2">
      <c r="H17" s="12" t="s">
        <v>18</v>
      </c>
      <c r="I17" s="5">
        <v>132</v>
      </c>
      <c r="J17" s="5">
        <v>83</v>
      </c>
      <c r="L17" s="12" t="s">
        <v>9</v>
      </c>
      <c r="M17" s="5">
        <v>200</v>
      </c>
      <c r="O17" s="12"/>
      <c r="P17" s="5"/>
    </row>
    <row r="18" spans="8:16" x14ac:dyDescent="0.2">
      <c r="H18" s="12" t="s">
        <v>13</v>
      </c>
      <c r="I18" s="5">
        <v>222</v>
      </c>
      <c r="J18" s="5">
        <v>203</v>
      </c>
      <c r="L18" s="12" t="s">
        <v>18</v>
      </c>
      <c r="M18" s="5">
        <v>102</v>
      </c>
      <c r="O18" s="12"/>
      <c r="P18" s="5"/>
    </row>
    <row r="19" spans="8:16" x14ac:dyDescent="0.2">
      <c r="H19" s="12" t="s">
        <v>30</v>
      </c>
      <c r="I19" s="5">
        <v>204</v>
      </c>
      <c r="J19" s="5">
        <v>170</v>
      </c>
      <c r="L19" s="12" t="s">
        <v>13</v>
      </c>
      <c r="M19" s="5">
        <v>255</v>
      </c>
      <c r="O19" s="12"/>
      <c r="P19" s="5"/>
    </row>
    <row r="20" spans="8:16" x14ac:dyDescent="0.2">
      <c r="H20" s="12" t="s">
        <v>24</v>
      </c>
      <c r="I20" s="5">
        <v>99</v>
      </c>
      <c r="J20" s="5">
        <v>100</v>
      </c>
      <c r="L20" s="12" t="s">
        <v>30</v>
      </c>
      <c r="M20" s="5">
        <v>240</v>
      </c>
      <c r="O20" s="12"/>
      <c r="P20" s="5"/>
    </row>
    <row r="21" spans="8:16" x14ac:dyDescent="0.2">
      <c r="H21" s="12" t="s">
        <v>15</v>
      </c>
      <c r="I21" s="5">
        <v>149</v>
      </c>
      <c r="J21" s="5">
        <v>106</v>
      </c>
      <c r="L21" s="12" t="s">
        <v>24</v>
      </c>
      <c r="M21" s="5">
        <v>60</v>
      </c>
      <c r="O21" s="12"/>
      <c r="P21" s="5"/>
    </row>
    <row r="22" spans="8:16" x14ac:dyDescent="0.2">
      <c r="H22" s="12" t="s">
        <v>11</v>
      </c>
      <c r="I22" s="5">
        <v>127</v>
      </c>
      <c r="J22" s="5">
        <v>97</v>
      </c>
      <c r="L22" s="12" t="s">
        <v>15</v>
      </c>
      <c r="M22" s="5">
        <v>130</v>
      </c>
      <c r="O22" s="12"/>
      <c r="P22" s="5"/>
    </row>
    <row r="23" spans="8:16" x14ac:dyDescent="0.2">
      <c r="H23" s="12" t="s">
        <v>19</v>
      </c>
      <c r="I23" s="5">
        <v>113</v>
      </c>
      <c r="J23" s="5">
        <v>129</v>
      </c>
      <c r="L23" s="12" t="s">
        <v>11</v>
      </c>
      <c r="M23" s="5">
        <v>118</v>
      </c>
      <c r="O23" s="12"/>
      <c r="P23" s="5"/>
    </row>
    <row r="24" spans="8:16" x14ac:dyDescent="0.2">
      <c r="H24" s="12" t="s">
        <v>12</v>
      </c>
      <c r="I24" s="5">
        <v>144</v>
      </c>
      <c r="J24" s="5">
        <v>130</v>
      </c>
      <c r="L24" s="12" t="s">
        <v>19</v>
      </c>
      <c r="M24" s="5">
        <v>158</v>
      </c>
      <c r="N24" s="5"/>
      <c r="O24" s="12"/>
      <c r="P24" s="5"/>
    </row>
    <row r="25" spans="8:16" x14ac:dyDescent="0.2">
      <c r="H25" s="12" t="s">
        <v>31</v>
      </c>
      <c r="I25" s="5">
        <v>116</v>
      </c>
      <c r="J25" s="5">
        <v>60</v>
      </c>
      <c r="L25" s="12" t="s">
        <v>12</v>
      </c>
      <c r="M25" s="5">
        <v>160</v>
      </c>
      <c r="N25" s="5"/>
      <c r="O25" s="12"/>
      <c r="P25" s="5"/>
    </row>
    <row r="26" spans="8:16" x14ac:dyDescent="0.2">
      <c r="H26" s="12" t="s">
        <v>22</v>
      </c>
      <c r="I26" s="5">
        <v>100</v>
      </c>
      <c r="J26" s="5">
        <v>146</v>
      </c>
      <c r="L26" s="12" t="s">
        <v>31</v>
      </c>
      <c r="M26" s="5">
        <v>90</v>
      </c>
      <c r="N26" s="5"/>
      <c r="O26" s="12"/>
      <c r="P26" s="5"/>
    </row>
    <row r="27" spans="8:16" x14ac:dyDescent="0.2">
      <c r="H27" s="12" t="s">
        <v>17</v>
      </c>
      <c r="I27" s="5">
        <v>156</v>
      </c>
      <c r="J27" s="5">
        <v>102</v>
      </c>
      <c r="L27" s="12" t="s">
        <v>22</v>
      </c>
      <c r="M27" s="5">
        <v>180</v>
      </c>
      <c r="N27" s="5"/>
      <c r="O27" s="12"/>
      <c r="P27" s="5"/>
    </row>
    <row r="28" spans="8:16" x14ac:dyDescent="0.2">
      <c r="H28" s="12" t="s">
        <v>28</v>
      </c>
      <c r="I28" s="5">
        <v>132</v>
      </c>
      <c r="J28" s="5">
        <v>110</v>
      </c>
      <c r="L28" s="12" t="s">
        <v>17</v>
      </c>
      <c r="M28" s="5">
        <v>125</v>
      </c>
      <c r="N28" s="5"/>
      <c r="O28" s="12"/>
      <c r="P28" s="5"/>
    </row>
    <row r="29" spans="8:16" x14ac:dyDescent="0.2">
      <c r="H29" s="12" t="s">
        <v>27</v>
      </c>
      <c r="I29" s="5">
        <v>104</v>
      </c>
      <c r="J29" s="5">
        <v>57</v>
      </c>
      <c r="L29" s="12" t="s">
        <v>28</v>
      </c>
      <c r="M29" s="5">
        <v>160</v>
      </c>
      <c r="N29" s="5"/>
      <c r="O29" s="12"/>
      <c r="P29" s="5"/>
    </row>
    <row r="30" spans="8:16" x14ac:dyDescent="0.2">
      <c r="H30" s="12" t="s">
        <v>8</v>
      </c>
      <c r="I30" s="5">
        <v>146</v>
      </c>
      <c r="J30" s="5">
        <v>105</v>
      </c>
      <c r="L30" s="12" t="s">
        <v>27</v>
      </c>
      <c r="M30" s="5">
        <v>70</v>
      </c>
      <c r="N30" s="5"/>
      <c r="O30" s="12"/>
      <c r="P30" s="5"/>
    </row>
    <row r="31" spans="8:16" x14ac:dyDescent="0.2">
      <c r="H31" s="12" t="s">
        <v>40</v>
      </c>
      <c r="I31" s="5">
        <v>3269</v>
      </c>
      <c r="J31" s="5">
        <v>2758</v>
      </c>
      <c r="L31" s="12" t="s">
        <v>8</v>
      </c>
      <c r="M31" s="5">
        <v>125</v>
      </c>
      <c r="O31" s="12"/>
      <c r="P31" s="5"/>
    </row>
    <row r="32" spans="8:16" x14ac:dyDescent="0.2">
      <c r="L32" s="12" t="s">
        <v>40</v>
      </c>
      <c r="M32" s="5">
        <v>3366</v>
      </c>
    </row>
    <row r="34" spans="1:16" x14ac:dyDescent="0.2">
      <c r="A34" t="s">
        <v>81</v>
      </c>
      <c r="E34" s="12" t="s">
        <v>86</v>
      </c>
      <c r="L34" s="12" t="s">
        <v>90</v>
      </c>
    </row>
    <row r="35" spans="1:16" x14ac:dyDescent="0.2">
      <c r="A35" s="11" t="s">
        <v>87</v>
      </c>
      <c r="E35" s="11" t="s">
        <v>87</v>
      </c>
      <c r="L35" s="11" t="s">
        <v>39</v>
      </c>
      <c r="M35" t="s">
        <v>78</v>
      </c>
      <c r="O35" s="20" t="s">
        <v>39</v>
      </c>
      <c r="P35" s="20" t="s">
        <v>78</v>
      </c>
    </row>
    <row r="36" spans="1:16" x14ac:dyDescent="0.2">
      <c r="A36" s="12" t="s">
        <v>83</v>
      </c>
      <c r="B36" s="5">
        <v>2470</v>
      </c>
      <c r="E36" s="12" t="s">
        <v>84</v>
      </c>
      <c r="F36" s="5">
        <v>104.84</v>
      </c>
      <c r="L36" s="12" t="s">
        <v>35</v>
      </c>
      <c r="M36" s="5">
        <v>200</v>
      </c>
      <c r="O36" s="12" t="s">
        <v>35</v>
      </c>
      <c r="P36" s="5">
        <v>200</v>
      </c>
    </row>
    <row r="37" spans="1:16" x14ac:dyDescent="0.2">
      <c r="A37" s="12" t="s">
        <v>82</v>
      </c>
      <c r="B37" s="5">
        <v>2441</v>
      </c>
      <c r="E37" s="12" t="s">
        <v>85</v>
      </c>
      <c r="F37" s="5">
        <v>97.16</v>
      </c>
      <c r="L37" s="12" t="s">
        <v>37</v>
      </c>
      <c r="M37" s="5">
        <v>260</v>
      </c>
      <c r="O37" s="12" t="s">
        <v>37</v>
      </c>
      <c r="P37" s="5">
        <v>260</v>
      </c>
    </row>
    <row r="38" spans="1:16" x14ac:dyDescent="0.2">
      <c r="L38" s="12" t="s">
        <v>36</v>
      </c>
      <c r="M38" s="5">
        <v>160</v>
      </c>
      <c r="O38" s="12" t="s">
        <v>36</v>
      </c>
      <c r="P38" s="5">
        <v>160</v>
      </c>
    </row>
    <row r="39" spans="1:16" x14ac:dyDescent="0.2">
      <c r="L39" s="12" t="s">
        <v>38</v>
      </c>
      <c r="M39" s="5">
        <v>260</v>
      </c>
      <c r="O39" s="12" t="s">
        <v>38</v>
      </c>
      <c r="P39" s="5">
        <v>260</v>
      </c>
    </row>
    <row r="40" spans="1:16" x14ac:dyDescent="0.2">
      <c r="L40" s="12" t="s">
        <v>26</v>
      </c>
      <c r="M40" s="5">
        <v>160</v>
      </c>
      <c r="O40" s="12" t="s">
        <v>26</v>
      </c>
      <c r="P40" s="5">
        <v>160</v>
      </c>
    </row>
    <row r="41" spans="1:16" x14ac:dyDescent="0.2">
      <c r="L41" s="12" t="s">
        <v>10</v>
      </c>
      <c r="M41" s="5">
        <v>220</v>
      </c>
      <c r="O41" s="12" t="s">
        <v>10</v>
      </c>
      <c r="P41" s="5">
        <v>220</v>
      </c>
    </row>
    <row r="42" spans="1:16" x14ac:dyDescent="0.2">
      <c r="L42" s="12" t="s">
        <v>14</v>
      </c>
      <c r="M42" s="5">
        <v>260</v>
      </c>
      <c r="O42" s="12" t="s">
        <v>14</v>
      </c>
      <c r="P42" s="5">
        <v>260</v>
      </c>
    </row>
    <row r="43" spans="1:16" x14ac:dyDescent="0.2">
      <c r="L43" s="12" t="s">
        <v>7</v>
      </c>
      <c r="M43" s="5">
        <v>220</v>
      </c>
      <c r="O43" s="12" t="s">
        <v>7</v>
      </c>
      <c r="P43" s="5">
        <v>220</v>
      </c>
    </row>
    <row r="44" spans="1:16" x14ac:dyDescent="0.2">
      <c r="L44" s="12" t="s">
        <v>21</v>
      </c>
      <c r="M44" s="5">
        <v>180</v>
      </c>
      <c r="O44" s="12" t="s">
        <v>21</v>
      </c>
      <c r="P44" s="5">
        <v>180</v>
      </c>
    </row>
    <row r="45" spans="1:16" x14ac:dyDescent="0.2">
      <c r="L45" s="12" t="s">
        <v>16</v>
      </c>
      <c r="M45" s="5">
        <v>220</v>
      </c>
      <c r="O45" s="12" t="s">
        <v>16</v>
      </c>
      <c r="P45" s="5">
        <v>220</v>
      </c>
    </row>
    <row r="46" spans="1:16" x14ac:dyDescent="0.2">
      <c r="L46" s="12" t="s">
        <v>9</v>
      </c>
      <c r="M46" s="5">
        <v>220</v>
      </c>
      <c r="O46" s="12" t="s">
        <v>9</v>
      </c>
      <c r="P46" s="5">
        <v>220</v>
      </c>
    </row>
    <row r="47" spans="1:16" x14ac:dyDescent="0.2">
      <c r="L47" s="12" t="s">
        <v>18</v>
      </c>
      <c r="M47" s="5">
        <v>220</v>
      </c>
      <c r="O47" s="12" t="s">
        <v>18</v>
      </c>
      <c r="P47" s="5">
        <v>220</v>
      </c>
    </row>
    <row r="48" spans="1:16" x14ac:dyDescent="0.2">
      <c r="L48" s="12" t="s">
        <v>13</v>
      </c>
      <c r="M48" s="5">
        <v>300</v>
      </c>
      <c r="O48" s="12" t="s">
        <v>13</v>
      </c>
      <c r="P48" s="5">
        <v>300</v>
      </c>
    </row>
    <row r="49" spans="12:16" x14ac:dyDescent="0.2">
      <c r="L49" s="12" t="s">
        <v>30</v>
      </c>
      <c r="M49" s="5">
        <v>260</v>
      </c>
      <c r="O49" s="12" t="s">
        <v>30</v>
      </c>
      <c r="P49" s="5">
        <v>260</v>
      </c>
    </row>
    <row r="50" spans="12:16" x14ac:dyDescent="0.2">
      <c r="L50" s="12" t="s">
        <v>24</v>
      </c>
      <c r="M50" s="5">
        <v>180</v>
      </c>
      <c r="O50" s="12" t="s">
        <v>24</v>
      </c>
      <c r="P50" s="5">
        <v>180</v>
      </c>
    </row>
    <row r="51" spans="12:16" x14ac:dyDescent="0.2">
      <c r="L51" s="12" t="s">
        <v>15</v>
      </c>
      <c r="M51" s="5">
        <v>240</v>
      </c>
      <c r="O51" s="12" t="s">
        <v>15</v>
      </c>
      <c r="P51" s="5">
        <v>240</v>
      </c>
    </row>
    <row r="52" spans="12:16" x14ac:dyDescent="0.2">
      <c r="L52" s="12" t="s">
        <v>11</v>
      </c>
      <c r="M52" s="5">
        <v>220</v>
      </c>
      <c r="O52" s="12" t="s">
        <v>11</v>
      </c>
      <c r="P52" s="5">
        <v>220</v>
      </c>
    </row>
    <row r="53" spans="12:16" x14ac:dyDescent="0.2">
      <c r="L53" s="12" t="s">
        <v>19</v>
      </c>
      <c r="M53" s="5">
        <v>260</v>
      </c>
      <c r="O53" s="12" t="s">
        <v>19</v>
      </c>
      <c r="P53" s="5">
        <v>260</v>
      </c>
    </row>
    <row r="54" spans="12:16" x14ac:dyDescent="0.2">
      <c r="L54" s="12" t="s">
        <v>12</v>
      </c>
      <c r="M54" s="5">
        <v>220</v>
      </c>
      <c r="O54" s="12" t="s">
        <v>12</v>
      </c>
      <c r="P54" s="5">
        <v>220</v>
      </c>
    </row>
    <row r="55" spans="12:16" x14ac:dyDescent="0.2">
      <c r="L55" s="12" t="s">
        <v>31</v>
      </c>
      <c r="M55" s="5">
        <v>200</v>
      </c>
      <c r="O55" s="12" t="s">
        <v>31</v>
      </c>
      <c r="P55" s="5">
        <v>200</v>
      </c>
    </row>
    <row r="56" spans="12:16" x14ac:dyDescent="0.2">
      <c r="L56" s="12" t="s">
        <v>22</v>
      </c>
      <c r="M56" s="5">
        <v>220</v>
      </c>
      <c r="O56" s="12" t="s">
        <v>22</v>
      </c>
      <c r="P56" s="5">
        <v>220</v>
      </c>
    </row>
    <row r="57" spans="12:16" x14ac:dyDescent="0.2">
      <c r="L57" s="12" t="s">
        <v>17</v>
      </c>
      <c r="M57" s="5">
        <v>240</v>
      </c>
      <c r="O57" s="12" t="s">
        <v>17</v>
      </c>
      <c r="P57" s="5">
        <v>240</v>
      </c>
    </row>
    <row r="58" spans="12:16" x14ac:dyDescent="0.2">
      <c r="L58" s="12" t="s">
        <v>28</v>
      </c>
      <c r="M58" s="5">
        <v>220</v>
      </c>
      <c r="O58" s="12" t="s">
        <v>28</v>
      </c>
      <c r="P58" s="5">
        <v>220</v>
      </c>
    </row>
    <row r="59" spans="12:16" x14ac:dyDescent="0.2">
      <c r="L59" s="12" t="s">
        <v>27</v>
      </c>
      <c r="M59" s="5">
        <v>160</v>
      </c>
      <c r="O59" s="12" t="s">
        <v>27</v>
      </c>
      <c r="P59" s="5">
        <v>160</v>
      </c>
    </row>
    <row r="60" spans="12:16" x14ac:dyDescent="0.2">
      <c r="L60" s="12" t="s">
        <v>8</v>
      </c>
      <c r="M60" s="5">
        <v>200</v>
      </c>
      <c r="O60" s="12" t="s">
        <v>8</v>
      </c>
      <c r="P60" s="5">
        <v>200</v>
      </c>
    </row>
    <row r="61" spans="12:16" x14ac:dyDescent="0.2">
      <c r="L61" s="12" t="s">
        <v>40</v>
      </c>
      <c r="M61" s="5">
        <v>5500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D237-1C6A-BE44-AF28-C5795D629750}">
  <dimension ref="A1:Z31"/>
  <sheetViews>
    <sheetView zoomScale="80" zoomScaleNormal="80" workbookViewId="0">
      <selection activeCell="A3" sqref="A3"/>
    </sheetView>
  </sheetViews>
  <sheetFormatPr baseColWidth="10" defaultColWidth="47.5" defaultRowHeight="16" x14ac:dyDescent="0.2"/>
  <cols>
    <col min="1" max="1" width="47.5" style="1"/>
    <col min="2" max="2" width="24" customWidth="1"/>
    <col min="3" max="3" width="17.6640625" customWidth="1"/>
    <col min="4" max="4" width="26" customWidth="1"/>
    <col min="5" max="5" width="18.1640625" customWidth="1"/>
    <col min="6" max="6" width="17" customWidth="1"/>
    <col min="7" max="7" width="19.83203125" customWidth="1"/>
    <col min="8" max="8" width="24.83203125" customWidth="1"/>
    <col min="9" max="9" width="21.6640625" customWidth="1"/>
    <col min="10" max="10" width="28" customWidth="1"/>
    <col min="11" max="11" width="28.83203125" customWidth="1"/>
    <col min="12" max="12" width="22.6640625" customWidth="1"/>
    <col min="13" max="13" width="22.33203125" customWidth="1"/>
    <col min="14" max="14" width="22.1640625" customWidth="1"/>
    <col min="15" max="15" width="24" customWidth="1"/>
    <col min="16" max="16" width="26.5" customWidth="1"/>
    <col min="17" max="17" width="27.33203125" customWidth="1"/>
    <col min="18" max="18" width="31" customWidth="1"/>
    <col min="19" max="19" width="32.83203125" customWidth="1"/>
    <col min="20" max="20" width="34.33203125" customWidth="1"/>
    <col min="21" max="21" width="33.83203125" customWidth="1"/>
  </cols>
  <sheetData>
    <row r="1" spans="1:26" ht="32" x14ac:dyDescent="0.4">
      <c r="A1" s="19" t="s">
        <v>34</v>
      </c>
      <c r="B1" s="19"/>
      <c r="C1" s="19"/>
      <c r="D1" s="19"/>
      <c r="E1" s="19"/>
      <c r="F1" s="19"/>
      <c r="G1" s="19"/>
      <c r="H1" s="19"/>
      <c r="I1" s="19"/>
      <c r="J1" s="19"/>
      <c r="K1" s="19"/>
      <c r="L1" s="19"/>
      <c r="M1" s="19"/>
      <c r="N1" s="19"/>
      <c r="O1" s="19"/>
      <c r="P1" s="19"/>
      <c r="Q1" s="19"/>
      <c r="R1" s="19"/>
      <c r="S1" s="19"/>
      <c r="T1" s="19"/>
      <c r="U1" s="19"/>
    </row>
    <row r="2" spans="1:26" s="2" customFormat="1" ht="19" x14ac:dyDescent="0.25">
      <c r="A2" s="13" t="s">
        <v>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2" t="s">
        <v>57</v>
      </c>
      <c r="S2" s="2" t="s">
        <v>58</v>
      </c>
      <c r="T2" s="2" t="s">
        <v>59</v>
      </c>
      <c r="U2" s="2" t="s">
        <v>60</v>
      </c>
      <c r="V2" s="2" t="s">
        <v>61</v>
      </c>
      <c r="W2" s="2" t="s">
        <v>62</v>
      </c>
      <c r="X2" s="2" t="s">
        <v>63</v>
      </c>
      <c r="Y2" s="2" t="s">
        <v>71</v>
      </c>
      <c r="Z2" s="2" t="s">
        <v>72</v>
      </c>
    </row>
    <row r="3" spans="1:26" ht="27" x14ac:dyDescent="0.35">
      <c r="A3" s="9" t="s">
        <v>7</v>
      </c>
      <c r="B3" s="5">
        <v>140</v>
      </c>
      <c r="C3" s="5">
        <v>175</v>
      </c>
      <c r="D3" s="5">
        <v>22</v>
      </c>
      <c r="E3" s="5">
        <v>99</v>
      </c>
      <c r="F3" s="5">
        <v>20</v>
      </c>
      <c r="G3" s="5">
        <v>45</v>
      </c>
      <c r="H3" s="5">
        <v>4</v>
      </c>
      <c r="I3" s="5">
        <v>16</v>
      </c>
      <c r="J3" s="5">
        <v>160</v>
      </c>
      <c r="K3" s="5">
        <v>220</v>
      </c>
      <c r="L3" s="5">
        <v>110</v>
      </c>
      <c r="M3" s="5">
        <v>100</v>
      </c>
      <c r="N3" s="5">
        <f>(B3-D3)</f>
        <v>118</v>
      </c>
      <c r="O3" s="5">
        <v>76</v>
      </c>
      <c r="P3" s="5">
        <f>(F3-H3)</f>
        <v>16</v>
      </c>
      <c r="Q3" s="5">
        <v>29</v>
      </c>
      <c r="R3" s="8">
        <f>(L3/J3)</f>
        <v>0.6875</v>
      </c>
      <c r="S3" s="8">
        <f>(M3/K3)</f>
        <v>0.45454545454545453</v>
      </c>
      <c r="T3" s="7">
        <f>SUM(N3,P3)</f>
        <v>134</v>
      </c>
      <c r="U3" s="7">
        <f>SUM(O3,Q3)</f>
        <v>105</v>
      </c>
      <c r="V3" s="15">
        <f t="shared" ref="V3:V27" si="0">(T3/J3)</f>
        <v>0.83750000000000002</v>
      </c>
      <c r="W3" s="16">
        <f>(Table5[[#This Row],[total_occupied_bed_new]]/Table5[[#This Row],[Total_amount_of_bed_new]])</f>
        <v>0.47727272727272729</v>
      </c>
      <c r="X3" s="7">
        <f>(Table5[[#This Row],[Total_amount_of_bed_new]]-Table5[[#This Row],[Total_amount_of_bed_old]])</f>
        <v>60</v>
      </c>
      <c r="Y3" s="8">
        <f>(Table5[[#This Row],[staff_on_duty_old]]/Table5[[#This Row],[total_occupied_bed_old]])</f>
        <v>0.82089552238805974</v>
      </c>
      <c r="Z3" s="8">
        <f>(Table5[[#This Row],[staff_on_duty_new]]/Table5[[#This Row],[total_occupied_bed_new]])</f>
        <v>0.95238095238095233</v>
      </c>
    </row>
    <row r="4" spans="1:26" ht="27" x14ac:dyDescent="0.35">
      <c r="A4" s="10" t="s">
        <v>8</v>
      </c>
      <c r="B4" s="5">
        <v>100</v>
      </c>
      <c r="C4" s="5">
        <v>140</v>
      </c>
      <c r="D4" s="5">
        <v>15</v>
      </c>
      <c r="E4" s="5">
        <v>30</v>
      </c>
      <c r="F4" s="5">
        <v>25</v>
      </c>
      <c r="G4" s="5">
        <v>60</v>
      </c>
      <c r="H4" s="5">
        <v>5</v>
      </c>
      <c r="I4" s="5">
        <v>24</v>
      </c>
      <c r="J4" s="5">
        <v>125</v>
      </c>
      <c r="K4" s="5">
        <v>200</v>
      </c>
      <c r="L4" s="5">
        <v>85</v>
      </c>
      <c r="M4" s="5">
        <v>90</v>
      </c>
      <c r="N4" s="5">
        <f t="shared" ref="N4:N27" si="1">(B4-D4)</f>
        <v>85</v>
      </c>
      <c r="O4" s="5">
        <v>110</v>
      </c>
      <c r="P4" s="5">
        <f t="shared" ref="P4:P27" si="2">(F4-H4)</f>
        <v>20</v>
      </c>
      <c r="Q4" s="5">
        <v>36</v>
      </c>
      <c r="R4" s="8">
        <f t="shared" ref="R4:R27" si="3">(L4/J4)</f>
        <v>0.68</v>
      </c>
      <c r="S4" s="8">
        <f t="shared" ref="S4:S27" si="4">(M4/K4)</f>
        <v>0.45</v>
      </c>
      <c r="T4" s="7">
        <f t="shared" ref="T4:T27" si="5">SUM(N4,P4)</f>
        <v>105</v>
      </c>
      <c r="U4" s="7">
        <f t="shared" ref="U4:U27" si="6">SUM(O4,Q4)</f>
        <v>146</v>
      </c>
      <c r="V4" s="15">
        <f t="shared" si="0"/>
        <v>0.84</v>
      </c>
      <c r="W4" s="16">
        <f>(Table5[[#This Row],[total_occupied_bed_new]]/Table5[[#This Row],[Total_amount_of_bed_new]])</f>
        <v>0.73</v>
      </c>
      <c r="X4" s="7">
        <f>(Table5[[#This Row],[Total_amount_of_bed_new]]-Table5[[#This Row],[Total_amount_of_bed_old]])</f>
        <v>75</v>
      </c>
      <c r="Y4" s="8">
        <f>(Table5[[#This Row],[staff_on_duty_old]]/Table5[[#This Row],[total_occupied_bed_old]])</f>
        <v>0.80952380952380953</v>
      </c>
      <c r="Z4" s="8">
        <f>(Table5[[#This Row],[staff_on_duty_new]]/Table5[[#This Row],[total_occupied_bed_new]])</f>
        <v>0.61643835616438358</v>
      </c>
    </row>
    <row r="5" spans="1:26" ht="27" x14ac:dyDescent="0.35">
      <c r="A5" s="10" t="s">
        <v>9</v>
      </c>
      <c r="B5" s="5">
        <v>180</v>
      </c>
      <c r="C5" s="5">
        <v>175</v>
      </c>
      <c r="D5" s="5">
        <v>35</v>
      </c>
      <c r="E5" s="5">
        <v>79</v>
      </c>
      <c r="F5" s="5">
        <v>20</v>
      </c>
      <c r="G5" s="5">
        <v>45</v>
      </c>
      <c r="H5" s="5">
        <v>4</v>
      </c>
      <c r="I5" s="5">
        <v>20</v>
      </c>
      <c r="J5" s="5">
        <v>200</v>
      </c>
      <c r="K5" s="5">
        <v>220</v>
      </c>
      <c r="L5" s="5">
        <v>130</v>
      </c>
      <c r="M5" s="5">
        <v>100</v>
      </c>
      <c r="N5" s="5">
        <f t="shared" si="1"/>
        <v>145</v>
      </c>
      <c r="O5" s="5">
        <v>96</v>
      </c>
      <c r="P5" s="5">
        <f t="shared" si="2"/>
        <v>16</v>
      </c>
      <c r="Q5" s="5">
        <v>25</v>
      </c>
      <c r="R5" s="8">
        <f t="shared" si="3"/>
        <v>0.65</v>
      </c>
      <c r="S5" s="8">
        <f t="shared" si="4"/>
        <v>0.45454545454545453</v>
      </c>
      <c r="T5" s="7">
        <f t="shared" si="5"/>
        <v>161</v>
      </c>
      <c r="U5" s="7">
        <f t="shared" si="6"/>
        <v>121</v>
      </c>
      <c r="V5" s="15">
        <f t="shared" si="0"/>
        <v>0.80500000000000005</v>
      </c>
      <c r="W5" s="16">
        <f>(Table5[[#This Row],[total_occupied_bed_new]]/Table5[[#This Row],[Total_amount_of_bed_new]])</f>
        <v>0.55000000000000004</v>
      </c>
      <c r="X5" s="7">
        <f>(Table5[[#This Row],[Total_amount_of_bed_new]]-Table5[[#This Row],[Total_amount_of_bed_old]])</f>
        <v>20</v>
      </c>
      <c r="Y5" s="8">
        <f>(Table5[[#This Row],[staff_on_duty_old]]/Table5[[#This Row],[total_occupied_bed_old]])</f>
        <v>0.80745341614906829</v>
      </c>
      <c r="Z5" s="8">
        <f>(Table5[[#This Row],[staff_on_duty_new]]/Table5[[#This Row],[total_occupied_bed_new]])</f>
        <v>0.82644628099173556</v>
      </c>
    </row>
    <row r="6" spans="1:26" ht="27" x14ac:dyDescent="0.35">
      <c r="A6" s="10" t="s">
        <v>10</v>
      </c>
      <c r="B6" s="5">
        <v>110</v>
      </c>
      <c r="C6" s="5">
        <v>160</v>
      </c>
      <c r="D6" s="5">
        <v>25</v>
      </c>
      <c r="E6" s="5">
        <v>61</v>
      </c>
      <c r="F6" s="5">
        <v>25</v>
      </c>
      <c r="G6" s="5">
        <v>60</v>
      </c>
      <c r="H6" s="5">
        <v>5</v>
      </c>
      <c r="I6" s="5">
        <v>23</v>
      </c>
      <c r="J6" s="5">
        <v>135</v>
      </c>
      <c r="K6" s="5">
        <v>220</v>
      </c>
      <c r="L6" s="5">
        <v>95</v>
      </c>
      <c r="M6" s="5">
        <v>100</v>
      </c>
      <c r="N6" s="5">
        <f t="shared" si="1"/>
        <v>85</v>
      </c>
      <c r="O6" s="5">
        <v>99</v>
      </c>
      <c r="P6" s="5">
        <f t="shared" si="2"/>
        <v>20</v>
      </c>
      <c r="Q6" s="5">
        <v>37</v>
      </c>
      <c r="R6" s="8">
        <f t="shared" si="3"/>
        <v>0.70370370370370372</v>
      </c>
      <c r="S6" s="8">
        <f t="shared" si="4"/>
        <v>0.45454545454545453</v>
      </c>
      <c r="T6" s="7">
        <f t="shared" si="5"/>
        <v>105</v>
      </c>
      <c r="U6" s="7">
        <f t="shared" si="6"/>
        <v>136</v>
      </c>
      <c r="V6" s="15">
        <f t="shared" si="0"/>
        <v>0.77777777777777779</v>
      </c>
      <c r="W6" s="16">
        <f>(Table5[[#This Row],[total_occupied_bed_new]]/Table5[[#This Row],[Total_amount_of_bed_new]])</f>
        <v>0.61818181818181817</v>
      </c>
      <c r="X6" s="7">
        <f>(Table5[[#This Row],[Total_amount_of_bed_new]]-Table5[[#This Row],[Total_amount_of_bed_old]])</f>
        <v>85</v>
      </c>
      <c r="Y6" s="8">
        <f>(Table5[[#This Row],[staff_on_duty_old]]/Table5[[#This Row],[total_occupied_bed_old]])</f>
        <v>0.90476190476190477</v>
      </c>
      <c r="Z6" s="8">
        <f>(Table5[[#This Row],[staff_on_duty_new]]/Table5[[#This Row],[total_occupied_bed_new]])</f>
        <v>0.73529411764705888</v>
      </c>
    </row>
    <row r="7" spans="1:26" ht="27" x14ac:dyDescent="0.35">
      <c r="A7" s="10" t="s">
        <v>11</v>
      </c>
      <c r="B7" s="5">
        <v>100</v>
      </c>
      <c r="C7" s="5">
        <v>168</v>
      </c>
      <c r="D7" s="5">
        <v>18</v>
      </c>
      <c r="E7" s="5">
        <v>71</v>
      </c>
      <c r="F7" s="5">
        <v>18</v>
      </c>
      <c r="G7" s="5">
        <v>52</v>
      </c>
      <c r="H7" s="5">
        <v>3</v>
      </c>
      <c r="I7" s="5">
        <v>22</v>
      </c>
      <c r="J7" s="5">
        <v>118</v>
      </c>
      <c r="K7" s="5">
        <v>220</v>
      </c>
      <c r="L7" s="5">
        <v>88</v>
      </c>
      <c r="M7" s="5">
        <v>100</v>
      </c>
      <c r="N7" s="5">
        <f t="shared" si="1"/>
        <v>82</v>
      </c>
      <c r="O7" s="5">
        <v>97</v>
      </c>
      <c r="P7" s="5">
        <f t="shared" si="2"/>
        <v>15</v>
      </c>
      <c r="Q7" s="5">
        <v>30</v>
      </c>
      <c r="R7" s="8">
        <f t="shared" si="3"/>
        <v>0.74576271186440679</v>
      </c>
      <c r="S7" s="8">
        <f t="shared" si="4"/>
        <v>0.45454545454545453</v>
      </c>
      <c r="T7" s="7">
        <f t="shared" si="5"/>
        <v>97</v>
      </c>
      <c r="U7" s="7">
        <f t="shared" si="6"/>
        <v>127</v>
      </c>
      <c r="V7" s="15">
        <f t="shared" si="0"/>
        <v>0.82203389830508478</v>
      </c>
      <c r="W7" s="16">
        <f>(Table5[[#This Row],[total_occupied_bed_new]]/Table5[[#This Row],[Total_amount_of_bed_new]])</f>
        <v>0.57727272727272727</v>
      </c>
      <c r="X7" s="7">
        <f>(Table5[[#This Row],[Total_amount_of_bed_new]]-Table5[[#This Row],[Total_amount_of_bed_old]])</f>
        <v>102</v>
      </c>
      <c r="Y7" s="8">
        <f>(Table5[[#This Row],[staff_on_duty_old]]/Table5[[#This Row],[total_occupied_bed_old]])</f>
        <v>0.90721649484536082</v>
      </c>
      <c r="Z7" s="8">
        <f>(Table5[[#This Row],[staff_on_duty_new]]/Table5[[#This Row],[total_occupied_bed_new]])</f>
        <v>0.78740157480314965</v>
      </c>
    </row>
    <row r="8" spans="1:26" ht="27" x14ac:dyDescent="0.35">
      <c r="A8" s="10" t="s">
        <v>12</v>
      </c>
      <c r="B8" s="5">
        <v>150</v>
      </c>
      <c r="C8" s="5">
        <v>190</v>
      </c>
      <c r="D8" s="5">
        <v>28</v>
      </c>
      <c r="E8" s="5">
        <v>66</v>
      </c>
      <c r="F8" s="5">
        <v>10</v>
      </c>
      <c r="G8" s="5">
        <v>30</v>
      </c>
      <c r="H8" s="5">
        <v>2</v>
      </c>
      <c r="I8" s="5">
        <v>10</v>
      </c>
      <c r="J8" s="5">
        <v>160</v>
      </c>
      <c r="K8" s="5">
        <v>220</v>
      </c>
      <c r="L8" s="5">
        <v>115</v>
      </c>
      <c r="M8" s="5">
        <v>100</v>
      </c>
      <c r="N8" s="5">
        <f t="shared" si="1"/>
        <v>122</v>
      </c>
      <c r="O8" s="5">
        <v>124</v>
      </c>
      <c r="P8" s="5">
        <f t="shared" si="2"/>
        <v>8</v>
      </c>
      <c r="Q8" s="5">
        <v>20</v>
      </c>
      <c r="R8" s="8">
        <f t="shared" si="3"/>
        <v>0.71875</v>
      </c>
      <c r="S8" s="8">
        <f t="shared" si="4"/>
        <v>0.45454545454545453</v>
      </c>
      <c r="T8" s="7">
        <f t="shared" si="5"/>
        <v>130</v>
      </c>
      <c r="U8" s="7">
        <f t="shared" si="6"/>
        <v>144</v>
      </c>
      <c r="V8" s="15">
        <f t="shared" si="0"/>
        <v>0.8125</v>
      </c>
      <c r="W8" s="16">
        <f>(Table5[[#This Row],[total_occupied_bed_new]]/Table5[[#This Row],[Total_amount_of_bed_new]])</f>
        <v>0.65454545454545454</v>
      </c>
      <c r="X8" s="7">
        <f>(Table5[[#This Row],[Total_amount_of_bed_new]]-Table5[[#This Row],[Total_amount_of_bed_old]])</f>
        <v>60</v>
      </c>
      <c r="Y8" s="8">
        <f>(Table5[[#This Row],[staff_on_duty_old]]/Table5[[#This Row],[total_occupied_bed_old]])</f>
        <v>0.88461538461538458</v>
      </c>
      <c r="Z8" s="8">
        <f>(Table5[[#This Row],[staff_on_duty_new]]/Table5[[#This Row],[total_occupied_bed_new]])</f>
        <v>0.69444444444444442</v>
      </c>
    </row>
    <row r="9" spans="1:26" ht="27" x14ac:dyDescent="0.35">
      <c r="A9" s="10" t="s">
        <v>13</v>
      </c>
      <c r="B9" s="5">
        <v>240</v>
      </c>
      <c r="C9" s="5">
        <v>255</v>
      </c>
      <c r="D9" s="5">
        <v>48</v>
      </c>
      <c r="E9" s="5">
        <v>60</v>
      </c>
      <c r="F9" s="5">
        <v>15</v>
      </c>
      <c r="G9" s="5">
        <v>45</v>
      </c>
      <c r="H9" s="5">
        <v>4</v>
      </c>
      <c r="I9" s="5">
        <v>18</v>
      </c>
      <c r="J9" s="5">
        <v>255</v>
      </c>
      <c r="K9" s="5">
        <v>300</v>
      </c>
      <c r="L9" s="5">
        <v>150</v>
      </c>
      <c r="M9" s="5">
        <v>135</v>
      </c>
      <c r="N9" s="5">
        <f t="shared" si="1"/>
        <v>192</v>
      </c>
      <c r="O9" s="5">
        <v>195</v>
      </c>
      <c r="P9" s="5">
        <f t="shared" si="2"/>
        <v>11</v>
      </c>
      <c r="Q9" s="5">
        <v>27</v>
      </c>
      <c r="R9" s="8">
        <f t="shared" si="3"/>
        <v>0.58823529411764708</v>
      </c>
      <c r="S9" s="8">
        <f t="shared" si="4"/>
        <v>0.45</v>
      </c>
      <c r="T9" s="7">
        <f t="shared" si="5"/>
        <v>203</v>
      </c>
      <c r="U9" s="7">
        <f t="shared" si="6"/>
        <v>222</v>
      </c>
      <c r="V9" s="15">
        <f t="shared" si="0"/>
        <v>0.79607843137254897</v>
      </c>
      <c r="W9" s="16">
        <f>(Table5[[#This Row],[total_occupied_bed_new]]/Table5[[#This Row],[Total_amount_of_bed_new]])</f>
        <v>0.74</v>
      </c>
      <c r="X9" s="7">
        <f>(Table5[[#This Row],[Total_amount_of_bed_new]]-Table5[[#This Row],[Total_amount_of_bed_old]])</f>
        <v>45</v>
      </c>
      <c r="Y9" s="8">
        <f>(Table5[[#This Row],[staff_on_duty_old]]/Table5[[#This Row],[total_occupied_bed_old]])</f>
        <v>0.73891625615763545</v>
      </c>
      <c r="Z9" s="8">
        <f>(Table5[[#This Row],[staff_on_duty_new]]/Table5[[#This Row],[total_occupied_bed_new]])</f>
        <v>0.60810810810810811</v>
      </c>
    </row>
    <row r="10" spans="1:26" ht="27" x14ac:dyDescent="0.35">
      <c r="A10" s="10" t="s">
        <v>14</v>
      </c>
      <c r="B10" s="5">
        <v>130</v>
      </c>
      <c r="C10" s="5">
        <v>200</v>
      </c>
      <c r="D10" s="5">
        <v>24</v>
      </c>
      <c r="E10" s="5">
        <v>120</v>
      </c>
      <c r="F10" s="5">
        <v>22</v>
      </c>
      <c r="G10" s="5">
        <v>60</v>
      </c>
      <c r="H10" s="5">
        <v>5</v>
      </c>
      <c r="I10" s="5">
        <v>27</v>
      </c>
      <c r="J10" s="5">
        <v>152</v>
      </c>
      <c r="K10" s="5">
        <v>260</v>
      </c>
      <c r="L10" s="5">
        <v>105</v>
      </c>
      <c r="M10" s="5">
        <v>115</v>
      </c>
      <c r="N10" s="5">
        <f t="shared" si="1"/>
        <v>106</v>
      </c>
      <c r="O10" s="5">
        <v>80</v>
      </c>
      <c r="P10" s="5">
        <f t="shared" si="2"/>
        <v>17</v>
      </c>
      <c r="Q10" s="5">
        <v>33</v>
      </c>
      <c r="R10" s="8">
        <f t="shared" si="3"/>
        <v>0.69078947368421051</v>
      </c>
      <c r="S10" s="8">
        <f t="shared" si="4"/>
        <v>0.44230769230769229</v>
      </c>
      <c r="T10" s="7">
        <f t="shared" si="5"/>
        <v>123</v>
      </c>
      <c r="U10" s="7">
        <f t="shared" si="6"/>
        <v>113</v>
      </c>
      <c r="V10" s="15">
        <f t="shared" si="0"/>
        <v>0.80921052631578949</v>
      </c>
      <c r="W10" s="16">
        <f>(Table5[[#This Row],[total_occupied_bed_new]]/Table5[[#This Row],[Total_amount_of_bed_new]])</f>
        <v>0.43461538461538463</v>
      </c>
      <c r="X10" s="7">
        <f>(Table5[[#This Row],[Total_amount_of_bed_new]]-Table5[[#This Row],[Total_amount_of_bed_old]])</f>
        <v>108</v>
      </c>
      <c r="Y10" s="8">
        <f>(Table5[[#This Row],[staff_on_duty_old]]/Table5[[#This Row],[total_occupied_bed_old]])</f>
        <v>0.85365853658536583</v>
      </c>
      <c r="Z10" s="8">
        <f>(Table5[[#This Row],[staff_on_duty_new]]/Table5[[#This Row],[total_occupied_bed_new]])</f>
        <v>1.0176991150442478</v>
      </c>
    </row>
    <row r="11" spans="1:26" ht="27" x14ac:dyDescent="0.35">
      <c r="A11" s="10" t="s">
        <v>15</v>
      </c>
      <c r="B11" s="5">
        <v>110</v>
      </c>
      <c r="C11" s="5">
        <v>195</v>
      </c>
      <c r="D11" s="5">
        <v>20</v>
      </c>
      <c r="E11" s="5">
        <v>74</v>
      </c>
      <c r="F11" s="5">
        <v>20</v>
      </c>
      <c r="G11" s="5">
        <v>45</v>
      </c>
      <c r="H11" s="5">
        <v>4</v>
      </c>
      <c r="I11" s="5">
        <v>17</v>
      </c>
      <c r="J11" s="5">
        <v>130</v>
      </c>
      <c r="K11" s="5">
        <v>240</v>
      </c>
      <c r="L11" s="5">
        <v>92</v>
      </c>
      <c r="M11" s="5">
        <v>110</v>
      </c>
      <c r="N11" s="5">
        <f t="shared" si="1"/>
        <v>90</v>
      </c>
      <c r="O11" s="5">
        <v>121</v>
      </c>
      <c r="P11" s="5">
        <f t="shared" si="2"/>
        <v>16</v>
      </c>
      <c r="Q11" s="5">
        <v>28</v>
      </c>
      <c r="R11" s="8">
        <f t="shared" si="3"/>
        <v>0.70769230769230773</v>
      </c>
      <c r="S11" s="8">
        <f t="shared" si="4"/>
        <v>0.45833333333333331</v>
      </c>
      <c r="T11" s="7">
        <f t="shared" si="5"/>
        <v>106</v>
      </c>
      <c r="U11" s="7">
        <f t="shared" si="6"/>
        <v>149</v>
      </c>
      <c r="V11" s="15">
        <f t="shared" si="0"/>
        <v>0.81538461538461537</v>
      </c>
      <c r="W11" s="16">
        <f>(Table5[[#This Row],[total_occupied_bed_new]]/Table5[[#This Row],[Total_amount_of_bed_new]])</f>
        <v>0.62083333333333335</v>
      </c>
      <c r="X11" s="7">
        <f>(Table5[[#This Row],[Total_amount_of_bed_new]]-Table5[[#This Row],[Total_amount_of_bed_old]])</f>
        <v>110</v>
      </c>
      <c r="Y11" s="8">
        <f>(Table5[[#This Row],[staff_on_duty_old]]/Table5[[#This Row],[total_occupied_bed_old]])</f>
        <v>0.86792452830188682</v>
      </c>
      <c r="Z11" s="8">
        <f>(Table5[[#This Row],[staff_on_duty_new]]/Table5[[#This Row],[total_occupied_bed_new]])</f>
        <v>0.73825503355704702</v>
      </c>
    </row>
    <row r="12" spans="1:26" ht="27" x14ac:dyDescent="0.35">
      <c r="A12" s="10" t="s">
        <v>16</v>
      </c>
      <c r="B12" s="5">
        <v>95</v>
      </c>
      <c r="C12" s="5">
        <v>198</v>
      </c>
      <c r="D12" s="5">
        <v>18</v>
      </c>
      <c r="E12" s="5">
        <v>83</v>
      </c>
      <c r="F12" s="5">
        <v>10</v>
      </c>
      <c r="G12" s="5">
        <v>22</v>
      </c>
      <c r="H12" s="5">
        <v>2</v>
      </c>
      <c r="I12" s="5">
        <v>9</v>
      </c>
      <c r="J12" s="5">
        <v>105</v>
      </c>
      <c r="K12" s="5">
        <v>220</v>
      </c>
      <c r="L12" s="5">
        <v>78</v>
      </c>
      <c r="M12" s="5">
        <v>100</v>
      </c>
      <c r="N12" s="5">
        <f t="shared" si="1"/>
        <v>77</v>
      </c>
      <c r="O12" s="5">
        <v>115</v>
      </c>
      <c r="P12" s="5">
        <f t="shared" si="2"/>
        <v>8</v>
      </c>
      <c r="Q12" s="5">
        <v>13</v>
      </c>
      <c r="R12" s="8">
        <f t="shared" si="3"/>
        <v>0.74285714285714288</v>
      </c>
      <c r="S12" s="8">
        <f t="shared" si="4"/>
        <v>0.45454545454545453</v>
      </c>
      <c r="T12" s="7">
        <f t="shared" si="5"/>
        <v>85</v>
      </c>
      <c r="U12" s="7">
        <f t="shared" si="6"/>
        <v>128</v>
      </c>
      <c r="V12" s="15">
        <f t="shared" si="0"/>
        <v>0.80952380952380953</v>
      </c>
      <c r="W12" s="16">
        <f>(Table5[[#This Row],[total_occupied_bed_new]]/Table5[[#This Row],[Total_amount_of_bed_new]])</f>
        <v>0.58181818181818179</v>
      </c>
      <c r="X12" s="7">
        <f>(Table5[[#This Row],[Total_amount_of_bed_new]]-Table5[[#This Row],[Total_amount_of_bed_old]])</f>
        <v>115</v>
      </c>
      <c r="Y12" s="8">
        <f>(Table5[[#This Row],[staff_on_duty_old]]/Table5[[#This Row],[total_occupied_bed_old]])</f>
        <v>0.91764705882352937</v>
      </c>
      <c r="Z12" s="8">
        <f>(Table5[[#This Row],[staff_on_duty_new]]/Table5[[#This Row],[total_occupied_bed_new]])</f>
        <v>0.78125</v>
      </c>
    </row>
    <row r="13" spans="1:26" ht="27" x14ac:dyDescent="0.35">
      <c r="A13" s="10" t="s">
        <v>17</v>
      </c>
      <c r="B13" s="5">
        <v>110</v>
      </c>
      <c r="C13" s="5">
        <v>202</v>
      </c>
      <c r="D13" s="5">
        <v>20</v>
      </c>
      <c r="E13" s="5">
        <v>71</v>
      </c>
      <c r="F13" s="5">
        <v>15</v>
      </c>
      <c r="G13" s="5">
        <v>38</v>
      </c>
      <c r="H13" s="5">
        <v>3</v>
      </c>
      <c r="I13" s="5">
        <v>13</v>
      </c>
      <c r="J13" s="5">
        <v>125</v>
      </c>
      <c r="K13" s="5">
        <v>240</v>
      </c>
      <c r="L13" s="5">
        <v>82</v>
      </c>
      <c r="M13" s="5">
        <v>110</v>
      </c>
      <c r="N13" s="5">
        <f t="shared" si="1"/>
        <v>90</v>
      </c>
      <c r="O13" s="5">
        <v>131</v>
      </c>
      <c r="P13" s="5">
        <f t="shared" si="2"/>
        <v>12</v>
      </c>
      <c r="Q13" s="5">
        <v>25</v>
      </c>
      <c r="R13" s="8">
        <f t="shared" si="3"/>
        <v>0.65600000000000003</v>
      </c>
      <c r="S13" s="8">
        <f t="shared" si="4"/>
        <v>0.45833333333333331</v>
      </c>
      <c r="T13" s="7">
        <f t="shared" si="5"/>
        <v>102</v>
      </c>
      <c r="U13" s="7">
        <f t="shared" si="6"/>
        <v>156</v>
      </c>
      <c r="V13" s="15">
        <f t="shared" si="0"/>
        <v>0.81599999999999995</v>
      </c>
      <c r="W13" s="16">
        <f>(Table5[[#This Row],[total_occupied_bed_new]]/Table5[[#This Row],[Total_amount_of_bed_new]])</f>
        <v>0.65</v>
      </c>
      <c r="X13" s="7">
        <f>(Table5[[#This Row],[Total_amount_of_bed_new]]-Table5[[#This Row],[Total_amount_of_bed_old]])</f>
        <v>115</v>
      </c>
      <c r="Y13" s="8">
        <f>(Table5[[#This Row],[staff_on_duty_old]]/Table5[[#This Row],[total_occupied_bed_old]])</f>
        <v>0.80392156862745101</v>
      </c>
      <c r="Z13" s="8">
        <f>(Table5[[#This Row],[staff_on_duty_new]]/Table5[[#This Row],[total_occupied_bed_new]])</f>
        <v>0.70512820512820518</v>
      </c>
    </row>
    <row r="14" spans="1:26" ht="27" x14ac:dyDescent="0.35">
      <c r="A14" s="10" t="s">
        <v>18</v>
      </c>
      <c r="B14" s="5">
        <v>90</v>
      </c>
      <c r="C14" s="5">
        <v>175</v>
      </c>
      <c r="D14" s="5">
        <v>16</v>
      </c>
      <c r="E14" s="5">
        <v>70</v>
      </c>
      <c r="F14" s="5">
        <v>12</v>
      </c>
      <c r="G14" s="5">
        <v>45</v>
      </c>
      <c r="H14" s="5">
        <v>3</v>
      </c>
      <c r="I14" s="5">
        <v>18</v>
      </c>
      <c r="J14" s="5">
        <v>102</v>
      </c>
      <c r="K14" s="5">
        <v>220</v>
      </c>
      <c r="L14" s="5">
        <v>76</v>
      </c>
      <c r="M14" s="5">
        <v>100</v>
      </c>
      <c r="N14" s="5">
        <f t="shared" si="1"/>
        <v>74</v>
      </c>
      <c r="O14" s="5">
        <v>105</v>
      </c>
      <c r="P14" s="5">
        <f t="shared" si="2"/>
        <v>9</v>
      </c>
      <c r="Q14" s="5">
        <v>27</v>
      </c>
      <c r="R14" s="8">
        <f t="shared" si="3"/>
        <v>0.74509803921568629</v>
      </c>
      <c r="S14" s="8">
        <f t="shared" si="4"/>
        <v>0.45454545454545453</v>
      </c>
      <c r="T14" s="7">
        <f t="shared" si="5"/>
        <v>83</v>
      </c>
      <c r="U14" s="7">
        <f t="shared" si="6"/>
        <v>132</v>
      </c>
      <c r="V14" s="15">
        <f t="shared" si="0"/>
        <v>0.81372549019607843</v>
      </c>
      <c r="W14" s="16">
        <f>(Table5[[#This Row],[total_occupied_bed_new]]/Table5[[#This Row],[Total_amount_of_bed_new]])</f>
        <v>0.6</v>
      </c>
      <c r="X14" s="7">
        <f>(Table5[[#This Row],[Total_amount_of_bed_new]]-Table5[[#This Row],[Total_amount_of_bed_old]])</f>
        <v>118</v>
      </c>
      <c r="Y14" s="8">
        <f>(Table5[[#This Row],[staff_on_duty_old]]/Table5[[#This Row],[total_occupied_bed_old]])</f>
        <v>0.91566265060240959</v>
      </c>
      <c r="Z14" s="8">
        <f>(Table5[[#This Row],[staff_on_duty_new]]/Table5[[#This Row],[total_occupied_bed_new]])</f>
        <v>0.75757575757575757</v>
      </c>
    </row>
    <row r="15" spans="1:26" ht="27" x14ac:dyDescent="0.35">
      <c r="A15" s="10" t="s">
        <v>19</v>
      </c>
      <c r="B15" s="5">
        <v>140</v>
      </c>
      <c r="C15" s="5">
        <v>222</v>
      </c>
      <c r="D15" s="5">
        <v>26</v>
      </c>
      <c r="E15" s="5">
        <v>130</v>
      </c>
      <c r="F15" s="5">
        <v>18</v>
      </c>
      <c r="G15" s="5">
        <v>38</v>
      </c>
      <c r="H15" s="5">
        <v>3</v>
      </c>
      <c r="I15" s="5">
        <v>17</v>
      </c>
      <c r="J15" s="5">
        <v>158</v>
      </c>
      <c r="K15" s="5">
        <v>260</v>
      </c>
      <c r="L15" s="5">
        <v>120</v>
      </c>
      <c r="M15" s="5">
        <v>115</v>
      </c>
      <c r="N15" s="5">
        <f t="shared" si="1"/>
        <v>114</v>
      </c>
      <c r="O15" s="5">
        <v>92</v>
      </c>
      <c r="P15" s="5">
        <f t="shared" si="2"/>
        <v>15</v>
      </c>
      <c r="Q15" s="5">
        <v>21</v>
      </c>
      <c r="R15" s="8">
        <f t="shared" si="3"/>
        <v>0.759493670886076</v>
      </c>
      <c r="S15" s="8">
        <f t="shared" si="4"/>
        <v>0.44230769230769229</v>
      </c>
      <c r="T15" s="7">
        <f t="shared" si="5"/>
        <v>129</v>
      </c>
      <c r="U15" s="7">
        <f t="shared" si="6"/>
        <v>113</v>
      </c>
      <c r="V15" s="15">
        <f t="shared" si="0"/>
        <v>0.81645569620253167</v>
      </c>
      <c r="W15" s="16">
        <f>(Table5[[#This Row],[total_occupied_bed_new]]/Table5[[#This Row],[Total_amount_of_bed_new]])</f>
        <v>0.43461538461538463</v>
      </c>
      <c r="X15" s="7">
        <f>(Table5[[#This Row],[Total_amount_of_bed_new]]-Table5[[#This Row],[Total_amount_of_bed_old]])</f>
        <v>102</v>
      </c>
      <c r="Y15" s="8">
        <f>(Table5[[#This Row],[staff_on_duty_old]]/Table5[[#This Row],[total_occupied_bed_old]])</f>
        <v>0.93023255813953487</v>
      </c>
      <c r="Z15" s="8">
        <f>(Table5[[#This Row],[staff_on_duty_new]]/Table5[[#This Row],[total_occupied_bed_new]])</f>
        <v>1.0176991150442478</v>
      </c>
    </row>
    <row r="16" spans="1:26" ht="27" x14ac:dyDescent="0.35">
      <c r="A16" s="10" t="s">
        <v>35</v>
      </c>
      <c r="B16" s="5">
        <v>85</v>
      </c>
      <c r="C16" s="5">
        <v>178</v>
      </c>
      <c r="D16" s="5">
        <v>14</v>
      </c>
      <c r="E16" s="5">
        <v>68</v>
      </c>
      <c r="F16" s="5">
        <v>10</v>
      </c>
      <c r="G16" s="5">
        <v>22</v>
      </c>
      <c r="H16" s="5">
        <v>2</v>
      </c>
      <c r="I16" s="5">
        <v>8</v>
      </c>
      <c r="J16" s="5">
        <v>95</v>
      </c>
      <c r="K16" s="5">
        <v>200</v>
      </c>
      <c r="L16" s="5">
        <v>72</v>
      </c>
      <c r="M16" s="5">
        <v>90</v>
      </c>
      <c r="N16" s="5">
        <f t="shared" si="1"/>
        <v>71</v>
      </c>
      <c r="O16" s="5">
        <v>110</v>
      </c>
      <c r="P16" s="5">
        <f t="shared" si="2"/>
        <v>8</v>
      </c>
      <c r="Q16" s="5">
        <v>14</v>
      </c>
      <c r="R16" s="8">
        <f t="shared" si="3"/>
        <v>0.75789473684210529</v>
      </c>
      <c r="S16" s="8">
        <f t="shared" si="4"/>
        <v>0.45</v>
      </c>
      <c r="T16" s="7">
        <f t="shared" si="5"/>
        <v>79</v>
      </c>
      <c r="U16" s="7">
        <f t="shared" si="6"/>
        <v>124</v>
      </c>
      <c r="V16" s="15">
        <f t="shared" si="0"/>
        <v>0.83157894736842108</v>
      </c>
      <c r="W16" s="16">
        <f>(Table5[[#This Row],[total_occupied_bed_new]]/Table5[[#This Row],[Total_amount_of_bed_new]])</f>
        <v>0.62</v>
      </c>
      <c r="X16" s="7">
        <f>(Table5[[#This Row],[Total_amount_of_bed_new]]-Table5[[#This Row],[Total_amount_of_bed_old]])</f>
        <v>105</v>
      </c>
      <c r="Y16" s="8">
        <f>(Table5[[#This Row],[staff_on_duty_old]]/Table5[[#This Row],[total_occupied_bed_old]])</f>
        <v>0.91139240506329111</v>
      </c>
      <c r="Z16" s="8">
        <f>(Table5[[#This Row],[staff_on_duty_new]]/Table5[[#This Row],[total_occupied_bed_new]])</f>
        <v>0.72580645161290325</v>
      </c>
    </row>
    <row r="17" spans="1:26" ht="27" x14ac:dyDescent="0.35">
      <c r="A17" s="10" t="s">
        <v>21</v>
      </c>
      <c r="B17" s="5">
        <v>70</v>
      </c>
      <c r="C17" s="5">
        <v>165</v>
      </c>
      <c r="D17" s="5">
        <v>12</v>
      </c>
      <c r="E17" s="5">
        <v>69</v>
      </c>
      <c r="F17" s="5">
        <v>6</v>
      </c>
      <c r="G17" s="5">
        <v>15</v>
      </c>
      <c r="H17" s="5">
        <v>1</v>
      </c>
      <c r="I17" s="5">
        <v>6</v>
      </c>
      <c r="J17" s="5">
        <v>76</v>
      </c>
      <c r="K17" s="5">
        <v>180</v>
      </c>
      <c r="L17" s="5">
        <v>58</v>
      </c>
      <c r="M17" s="5">
        <v>80</v>
      </c>
      <c r="N17" s="5">
        <f t="shared" si="1"/>
        <v>58</v>
      </c>
      <c r="O17" s="5">
        <v>96</v>
      </c>
      <c r="P17" s="5">
        <f t="shared" si="2"/>
        <v>5</v>
      </c>
      <c r="Q17" s="5">
        <v>9</v>
      </c>
      <c r="R17" s="8">
        <f t="shared" si="3"/>
        <v>0.76315789473684215</v>
      </c>
      <c r="S17" s="8">
        <f t="shared" si="4"/>
        <v>0.44444444444444442</v>
      </c>
      <c r="T17" s="7">
        <f t="shared" si="5"/>
        <v>63</v>
      </c>
      <c r="U17" s="7">
        <f t="shared" si="6"/>
        <v>105</v>
      </c>
      <c r="V17" s="15">
        <f t="shared" si="0"/>
        <v>0.82894736842105265</v>
      </c>
      <c r="W17" s="16">
        <f>(Table5[[#This Row],[total_occupied_bed_new]]/Table5[[#This Row],[Total_amount_of_bed_new]])</f>
        <v>0.58333333333333337</v>
      </c>
      <c r="X17" s="7">
        <f>(Table5[[#This Row],[Total_amount_of_bed_new]]-Table5[[#This Row],[Total_amount_of_bed_old]])</f>
        <v>104</v>
      </c>
      <c r="Y17" s="8">
        <f>(Table5[[#This Row],[staff_on_duty_old]]/Table5[[#This Row],[total_occupied_bed_old]])</f>
        <v>0.92063492063492058</v>
      </c>
      <c r="Z17" s="8">
        <f>(Table5[[#This Row],[staff_on_duty_new]]/Table5[[#This Row],[total_occupied_bed_new]])</f>
        <v>0.76190476190476186</v>
      </c>
    </row>
    <row r="18" spans="1:26" ht="27" x14ac:dyDescent="0.35">
      <c r="A18" s="10" t="s">
        <v>22</v>
      </c>
      <c r="B18" s="5">
        <v>170</v>
      </c>
      <c r="C18" s="5">
        <v>190</v>
      </c>
      <c r="D18" s="5">
        <v>32</v>
      </c>
      <c r="E18" s="5">
        <v>110</v>
      </c>
      <c r="F18" s="5">
        <v>10</v>
      </c>
      <c r="G18" s="5">
        <v>30</v>
      </c>
      <c r="H18" s="5">
        <v>2</v>
      </c>
      <c r="I18" s="5">
        <v>10</v>
      </c>
      <c r="J18" s="5">
        <v>180</v>
      </c>
      <c r="K18" s="5">
        <v>220</v>
      </c>
      <c r="L18" s="5">
        <v>135</v>
      </c>
      <c r="M18" s="5">
        <v>100</v>
      </c>
      <c r="N18" s="5">
        <f t="shared" si="1"/>
        <v>138</v>
      </c>
      <c r="O18" s="5">
        <v>80</v>
      </c>
      <c r="P18" s="5">
        <f t="shared" si="2"/>
        <v>8</v>
      </c>
      <c r="Q18" s="5">
        <v>20</v>
      </c>
      <c r="R18" s="8">
        <f t="shared" si="3"/>
        <v>0.75</v>
      </c>
      <c r="S18" s="8">
        <f t="shared" si="4"/>
        <v>0.45454545454545453</v>
      </c>
      <c r="T18" s="7">
        <f t="shared" si="5"/>
        <v>146</v>
      </c>
      <c r="U18" s="7">
        <f t="shared" si="6"/>
        <v>100</v>
      </c>
      <c r="V18" s="15">
        <f t="shared" si="0"/>
        <v>0.81111111111111112</v>
      </c>
      <c r="W18" s="16">
        <f>(Table5[[#This Row],[total_occupied_bed_new]]/Table5[[#This Row],[Total_amount_of_bed_new]])</f>
        <v>0.45454545454545453</v>
      </c>
      <c r="X18" s="7">
        <f>(Table5[[#This Row],[Total_amount_of_bed_new]]-Table5[[#This Row],[Total_amount_of_bed_old]])</f>
        <v>40</v>
      </c>
      <c r="Y18" s="8">
        <f>(Table5[[#This Row],[staff_on_duty_old]]/Table5[[#This Row],[total_occupied_bed_old]])</f>
        <v>0.92465753424657537</v>
      </c>
      <c r="Z18" s="8">
        <f>(Table5[[#This Row],[staff_on_duty_new]]/Table5[[#This Row],[total_occupied_bed_new]])</f>
        <v>1</v>
      </c>
    </row>
    <row r="19" spans="1:26" ht="27" x14ac:dyDescent="0.35">
      <c r="A19" s="10" t="s">
        <v>36</v>
      </c>
      <c r="B19" s="5">
        <v>45</v>
      </c>
      <c r="C19" s="5">
        <v>70</v>
      </c>
      <c r="D19" s="5">
        <v>7</v>
      </c>
      <c r="E19" s="5">
        <v>28</v>
      </c>
      <c r="F19" s="5">
        <v>45</v>
      </c>
      <c r="G19" s="5">
        <v>90</v>
      </c>
      <c r="H19" s="5">
        <v>7</v>
      </c>
      <c r="I19" s="5">
        <v>36</v>
      </c>
      <c r="J19" s="5">
        <v>45</v>
      </c>
      <c r="K19" s="5">
        <v>160</v>
      </c>
      <c r="L19" s="5">
        <v>60</v>
      </c>
      <c r="M19" s="5">
        <v>70</v>
      </c>
      <c r="N19" s="5">
        <f t="shared" si="1"/>
        <v>38</v>
      </c>
      <c r="O19" s="5">
        <v>42</v>
      </c>
      <c r="P19" s="5">
        <f t="shared" si="2"/>
        <v>38</v>
      </c>
      <c r="Q19" s="5">
        <v>54</v>
      </c>
      <c r="R19" s="8">
        <f t="shared" si="3"/>
        <v>1.3333333333333333</v>
      </c>
      <c r="S19" s="8">
        <f t="shared" si="4"/>
        <v>0.4375</v>
      </c>
      <c r="T19" s="7">
        <f t="shared" si="5"/>
        <v>76</v>
      </c>
      <c r="U19" s="7">
        <f t="shared" si="6"/>
        <v>96</v>
      </c>
      <c r="V19" s="15">
        <f t="shared" si="0"/>
        <v>1.6888888888888889</v>
      </c>
      <c r="W19" s="16">
        <f>(Table5[[#This Row],[total_occupied_bed_new]]/Table5[[#This Row],[Total_amount_of_bed_new]])</f>
        <v>0.6</v>
      </c>
      <c r="X19" s="7">
        <f>(Table5[[#This Row],[Total_amount_of_bed_new]]-Table5[[#This Row],[Total_amount_of_bed_old]])</f>
        <v>115</v>
      </c>
      <c r="Y19" s="8">
        <f>(Table5[[#This Row],[staff_on_duty_old]]/Table5[[#This Row],[total_occupied_bed_old]])</f>
        <v>0.78947368421052633</v>
      </c>
      <c r="Z19" s="8">
        <f>(Table5[[#This Row],[staff_on_duty_new]]/Table5[[#This Row],[total_occupied_bed_new]])</f>
        <v>0.72916666666666663</v>
      </c>
    </row>
    <row r="20" spans="1:26" ht="27" x14ac:dyDescent="0.35">
      <c r="A20" s="10" t="s">
        <v>24</v>
      </c>
      <c r="B20" s="5">
        <v>60</v>
      </c>
      <c r="C20" s="5">
        <v>75</v>
      </c>
      <c r="D20" s="5">
        <v>10</v>
      </c>
      <c r="E20" s="5">
        <v>34</v>
      </c>
      <c r="F20" s="5">
        <v>60</v>
      </c>
      <c r="G20" s="5">
        <v>105</v>
      </c>
      <c r="H20" s="5">
        <v>10</v>
      </c>
      <c r="I20" s="5">
        <v>47</v>
      </c>
      <c r="J20" s="5">
        <v>60</v>
      </c>
      <c r="K20" s="5">
        <v>180</v>
      </c>
      <c r="L20" s="5">
        <v>70</v>
      </c>
      <c r="M20" s="5">
        <v>80</v>
      </c>
      <c r="N20" s="5">
        <f t="shared" si="1"/>
        <v>50</v>
      </c>
      <c r="O20" s="5">
        <v>41</v>
      </c>
      <c r="P20" s="5">
        <f t="shared" si="2"/>
        <v>50</v>
      </c>
      <c r="Q20" s="5">
        <v>58</v>
      </c>
      <c r="R20" s="8">
        <f t="shared" si="3"/>
        <v>1.1666666666666667</v>
      </c>
      <c r="S20" s="8">
        <f t="shared" si="4"/>
        <v>0.44444444444444442</v>
      </c>
      <c r="T20" s="7">
        <f t="shared" si="5"/>
        <v>100</v>
      </c>
      <c r="U20" s="7">
        <f t="shared" si="6"/>
        <v>99</v>
      </c>
      <c r="V20" s="15">
        <f t="shared" si="0"/>
        <v>1.6666666666666667</v>
      </c>
      <c r="W20" s="16">
        <f>(Table5[[#This Row],[total_occupied_bed_new]]/Table5[[#This Row],[Total_amount_of_bed_new]])</f>
        <v>0.55000000000000004</v>
      </c>
      <c r="X20" s="7">
        <f>(Table5[[#This Row],[Total_amount_of_bed_new]]-Table5[[#This Row],[Total_amount_of_bed_old]])</f>
        <v>120</v>
      </c>
      <c r="Y20" s="8">
        <f>(Table5[[#This Row],[staff_on_duty_old]]/Table5[[#This Row],[total_occupied_bed_old]])</f>
        <v>0.7</v>
      </c>
      <c r="Z20" s="8">
        <f>(Table5[[#This Row],[staff_on_duty_new]]/Table5[[#This Row],[total_occupied_bed_new]])</f>
        <v>0.80808080808080807</v>
      </c>
    </row>
    <row r="21" spans="1:26" ht="27" x14ac:dyDescent="0.35">
      <c r="A21" s="10" t="s">
        <v>37</v>
      </c>
      <c r="B21" s="5">
        <v>160</v>
      </c>
      <c r="C21" s="5">
        <v>230</v>
      </c>
      <c r="D21" s="5">
        <v>30</v>
      </c>
      <c r="E21" s="5">
        <v>87</v>
      </c>
      <c r="F21" s="5">
        <v>5</v>
      </c>
      <c r="G21" s="5">
        <v>30</v>
      </c>
      <c r="H21" s="5">
        <v>1</v>
      </c>
      <c r="I21" s="5">
        <v>11</v>
      </c>
      <c r="J21" s="5">
        <v>165</v>
      </c>
      <c r="K21" s="5">
        <v>260</v>
      </c>
      <c r="L21" s="5">
        <v>125</v>
      </c>
      <c r="M21" s="5">
        <v>115</v>
      </c>
      <c r="N21" s="5">
        <f t="shared" si="1"/>
        <v>130</v>
      </c>
      <c r="O21" s="5">
        <v>143</v>
      </c>
      <c r="P21" s="5">
        <f t="shared" si="2"/>
        <v>4</v>
      </c>
      <c r="Q21" s="5">
        <v>19</v>
      </c>
      <c r="R21" s="8">
        <f t="shared" si="3"/>
        <v>0.75757575757575757</v>
      </c>
      <c r="S21" s="8">
        <f t="shared" si="4"/>
        <v>0.44230769230769229</v>
      </c>
      <c r="T21" s="7">
        <f t="shared" si="5"/>
        <v>134</v>
      </c>
      <c r="U21" s="7">
        <f t="shared" si="6"/>
        <v>162</v>
      </c>
      <c r="V21" s="15">
        <f t="shared" si="0"/>
        <v>0.81212121212121213</v>
      </c>
      <c r="W21" s="16">
        <f>(Table5[[#This Row],[total_occupied_bed_new]]/Table5[[#This Row],[Total_amount_of_bed_new]])</f>
        <v>0.62307692307692308</v>
      </c>
      <c r="X21" s="7">
        <f>(Table5[[#This Row],[Total_amount_of_bed_new]]-Table5[[#This Row],[Total_amount_of_bed_old]])</f>
        <v>95</v>
      </c>
      <c r="Y21" s="8">
        <f>(Table5[[#This Row],[staff_on_duty_old]]/Table5[[#This Row],[total_occupied_bed_old]])</f>
        <v>0.93283582089552242</v>
      </c>
      <c r="Z21" s="8">
        <f>(Table5[[#This Row],[staff_on_duty_new]]/Table5[[#This Row],[total_occupied_bed_new]])</f>
        <v>0.70987654320987659</v>
      </c>
    </row>
    <row r="22" spans="1:26" ht="27" x14ac:dyDescent="0.35">
      <c r="A22" s="10" t="s">
        <v>26</v>
      </c>
      <c r="B22" s="5">
        <v>40</v>
      </c>
      <c r="C22" s="5">
        <v>85</v>
      </c>
      <c r="D22" s="5">
        <v>7</v>
      </c>
      <c r="E22" s="5">
        <v>36</v>
      </c>
      <c r="F22" s="5">
        <v>20</v>
      </c>
      <c r="G22" s="5">
        <v>75</v>
      </c>
      <c r="H22" s="5">
        <v>3</v>
      </c>
      <c r="I22" s="5">
        <v>32</v>
      </c>
      <c r="J22" s="5">
        <v>60</v>
      </c>
      <c r="K22" s="5">
        <v>160</v>
      </c>
      <c r="L22" s="5">
        <v>50</v>
      </c>
      <c r="M22" s="5">
        <v>70</v>
      </c>
      <c r="N22" s="5">
        <f t="shared" si="1"/>
        <v>33</v>
      </c>
      <c r="O22" s="5">
        <v>49</v>
      </c>
      <c r="P22" s="5">
        <f t="shared" si="2"/>
        <v>17</v>
      </c>
      <c r="Q22" s="5">
        <v>43</v>
      </c>
      <c r="R22" s="8">
        <f t="shared" si="3"/>
        <v>0.83333333333333337</v>
      </c>
      <c r="S22" s="8">
        <f t="shared" si="4"/>
        <v>0.4375</v>
      </c>
      <c r="T22" s="7">
        <f t="shared" si="5"/>
        <v>50</v>
      </c>
      <c r="U22" s="7">
        <f t="shared" si="6"/>
        <v>92</v>
      </c>
      <c r="V22" s="15">
        <f t="shared" si="0"/>
        <v>0.83333333333333337</v>
      </c>
      <c r="W22" s="16">
        <f>(Table5[[#This Row],[total_occupied_bed_new]]/Table5[[#This Row],[Total_amount_of_bed_new]])</f>
        <v>0.57499999999999996</v>
      </c>
      <c r="X22" s="7">
        <f>(Table5[[#This Row],[Total_amount_of_bed_new]]-Table5[[#This Row],[Total_amount_of_bed_old]])</f>
        <v>100</v>
      </c>
      <c r="Y22" s="8">
        <f>(Table5[[#This Row],[staff_on_duty_old]]/Table5[[#This Row],[total_occupied_bed_old]])</f>
        <v>1</v>
      </c>
      <c r="Z22" s="8">
        <f>(Table5[[#This Row],[staff_on_duty_new]]/Table5[[#This Row],[total_occupied_bed_new]])</f>
        <v>0.76086956521739135</v>
      </c>
    </row>
    <row r="23" spans="1:26" ht="27" x14ac:dyDescent="0.35">
      <c r="A23" s="10" t="s">
        <v>27</v>
      </c>
      <c r="B23" s="5">
        <v>50</v>
      </c>
      <c r="C23" s="5">
        <v>85</v>
      </c>
      <c r="D23" s="5">
        <v>9</v>
      </c>
      <c r="E23" s="5">
        <v>30</v>
      </c>
      <c r="F23" s="5">
        <v>20</v>
      </c>
      <c r="G23" s="5">
        <v>75</v>
      </c>
      <c r="H23" s="5">
        <v>4</v>
      </c>
      <c r="I23" s="5">
        <v>26</v>
      </c>
      <c r="J23" s="5">
        <v>70</v>
      </c>
      <c r="K23" s="5">
        <v>160</v>
      </c>
      <c r="L23" s="5">
        <v>60</v>
      </c>
      <c r="M23" s="5">
        <v>70</v>
      </c>
      <c r="N23" s="5">
        <f t="shared" si="1"/>
        <v>41</v>
      </c>
      <c r="O23" s="5">
        <v>55</v>
      </c>
      <c r="P23" s="5">
        <f t="shared" si="2"/>
        <v>16</v>
      </c>
      <c r="Q23" s="5">
        <v>49</v>
      </c>
      <c r="R23" s="8">
        <f t="shared" si="3"/>
        <v>0.8571428571428571</v>
      </c>
      <c r="S23" s="8">
        <f t="shared" si="4"/>
        <v>0.4375</v>
      </c>
      <c r="T23" s="7">
        <f t="shared" si="5"/>
        <v>57</v>
      </c>
      <c r="U23" s="7">
        <f t="shared" si="6"/>
        <v>104</v>
      </c>
      <c r="V23" s="15">
        <f t="shared" si="0"/>
        <v>0.81428571428571428</v>
      </c>
      <c r="W23" s="16">
        <f>(Table5[[#This Row],[total_occupied_bed_new]]/Table5[[#This Row],[Total_amount_of_bed_new]])</f>
        <v>0.65</v>
      </c>
      <c r="X23" s="7">
        <f>(Table5[[#This Row],[Total_amount_of_bed_new]]-Table5[[#This Row],[Total_amount_of_bed_old]])</f>
        <v>90</v>
      </c>
      <c r="Y23" s="8">
        <f>(Table5[[#This Row],[staff_on_duty_old]]/Table5[[#This Row],[total_occupied_bed_old]])</f>
        <v>1.0526315789473684</v>
      </c>
      <c r="Z23" s="8">
        <f>(Table5[[#This Row],[staff_on_duty_new]]/Table5[[#This Row],[total_occupied_bed_new]])</f>
        <v>0.67307692307692313</v>
      </c>
    </row>
    <row r="24" spans="1:26" ht="27" x14ac:dyDescent="0.35">
      <c r="A24" s="10" t="s">
        <v>28</v>
      </c>
      <c r="B24" s="5">
        <v>160</v>
      </c>
      <c r="C24" s="5">
        <v>205</v>
      </c>
      <c r="D24" s="5">
        <v>50</v>
      </c>
      <c r="E24" s="5">
        <v>82</v>
      </c>
      <c r="F24" s="5">
        <v>0</v>
      </c>
      <c r="G24" s="5">
        <v>15</v>
      </c>
      <c r="H24" s="5">
        <v>0</v>
      </c>
      <c r="I24" s="5">
        <v>6</v>
      </c>
      <c r="J24" s="5">
        <v>160</v>
      </c>
      <c r="K24" s="5">
        <v>220</v>
      </c>
      <c r="L24" s="5">
        <v>115</v>
      </c>
      <c r="M24" s="5">
        <v>100</v>
      </c>
      <c r="N24" s="5">
        <f t="shared" si="1"/>
        <v>110</v>
      </c>
      <c r="O24" s="5">
        <v>123</v>
      </c>
      <c r="P24" s="5">
        <f t="shared" si="2"/>
        <v>0</v>
      </c>
      <c r="Q24" s="5">
        <v>9</v>
      </c>
      <c r="R24" s="8">
        <f t="shared" si="3"/>
        <v>0.71875</v>
      </c>
      <c r="S24" s="8">
        <f t="shared" si="4"/>
        <v>0.45454545454545453</v>
      </c>
      <c r="T24" s="7">
        <f t="shared" si="5"/>
        <v>110</v>
      </c>
      <c r="U24" s="7">
        <f t="shared" si="6"/>
        <v>132</v>
      </c>
      <c r="V24" s="15">
        <f t="shared" si="0"/>
        <v>0.6875</v>
      </c>
      <c r="W24" s="16">
        <f>(Table5[[#This Row],[total_occupied_bed_new]]/Table5[[#This Row],[Total_amount_of_bed_new]])</f>
        <v>0.6</v>
      </c>
      <c r="X24" s="7">
        <f>(Table5[[#This Row],[Total_amount_of_bed_new]]-Table5[[#This Row],[Total_amount_of_bed_old]])</f>
        <v>60</v>
      </c>
      <c r="Y24" s="8">
        <f>(Table5[[#This Row],[staff_on_duty_old]]/Table5[[#This Row],[total_occupied_bed_old]])</f>
        <v>1.0454545454545454</v>
      </c>
      <c r="Z24" s="8">
        <f>(Table5[[#This Row],[staff_on_duty_new]]/Table5[[#This Row],[total_occupied_bed_new]])</f>
        <v>0.75757575757575757</v>
      </c>
    </row>
    <row r="25" spans="1:26" ht="27" x14ac:dyDescent="0.35">
      <c r="A25" s="10" t="s">
        <v>38</v>
      </c>
      <c r="B25" s="5">
        <v>200</v>
      </c>
      <c r="C25" s="5">
        <v>252</v>
      </c>
      <c r="D25" s="5">
        <v>50</v>
      </c>
      <c r="E25" s="5">
        <v>113</v>
      </c>
      <c r="F25" s="5">
        <v>0</v>
      </c>
      <c r="G25" s="5">
        <v>8</v>
      </c>
      <c r="H25" s="5">
        <v>0</v>
      </c>
      <c r="I25" s="5">
        <v>4</v>
      </c>
      <c r="J25" s="5">
        <v>200</v>
      </c>
      <c r="K25" s="5">
        <v>260</v>
      </c>
      <c r="L25" s="5">
        <v>145</v>
      </c>
      <c r="M25" s="5">
        <v>115</v>
      </c>
      <c r="N25" s="5">
        <f t="shared" si="1"/>
        <v>150</v>
      </c>
      <c r="O25" s="5">
        <v>139</v>
      </c>
      <c r="P25" s="5">
        <f t="shared" si="2"/>
        <v>0</v>
      </c>
      <c r="Q25" s="5">
        <v>4</v>
      </c>
      <c r="R25" s="8">
        <f t="shared" si="3"/>
        <v>0.72499999999999998</v>
      </c>
      <c r="S25" s="8">
        <f t="shared" si="4"/>
        <v>0.44230769230769229</v>
      </c>
      <c r="T25" s="7">
        <f t="shared" si="5"/>
        <v>150</v>
      </c>
      <c r="U25" s="7">
        <f t="shared" si="6"/>
        <v>143</v>
      </c>
      <c r="V25" s="15">
        <f t="shared" si="0"/>
        <v>0.75</v>
      </c>
      <c r="W25" s="16">
        <f>(Table5[[#This Row],[total_occupied_bed_new]]/Table5[[#This Row],[Total_amount_of_bed_new]])</f>
        <v>0.55000000000000004</v>
      </c>
      <c r="X25" s="7">
        <f>(Table5[[#This Row],[Total_amount_of_bed_new]]-Table5[[#This Row],[Total_amount_of_bed_old]])</f>
        <v>60</v>
      </c>
      <c r="Y25" s="8">
        <f>(Table5[[#This Row],[staff_on_duty_old]]/Table5[[#This Row],[total_occupied_bed_old]])</f>
        <v>0.96666666666666667</v>
      </c>
      <c r="Z25" s="8">
        <f>(Table5[[#This Row],[staff_on_duty_new]]/Table5[[#This Row],[total_occupied_bed_new]])</f>
        <v>0.80419580419580416</v>
      </c>
    </row>
    <row r="26" spans="1:26" ht="27" x14ac:dyDescent="0.35">
      <c r="A26" s="10" t="s">
        <v>30</v>
      </c>
      <c r="B26" s="5">
        <v>240</v>
      </c>
      <c r="C26" s="5">
        <v>245</v>
      </c>
      <c r="D26" s="5">
        <v>70</v>
      </c>
      <c r="E26" s="5">
        <v>50</v>
      </c>
      <c r="F26" s="5">
        <v>0</v>
      </c>
      <c r="G26" s="5">
        <v>15</v>
      </c>
      <c r="H26" s="5">
        <v>0</v>
      </c>
      <c r="I26" s="5">
        <v>6</v>
      </c>
      <c r="J26" s="5">
        <v>240</v>
      </c>
      <c r="K26" s="5">
        <v>260</v>
      </c>
      <c r="L26" s="5">
        <v>160</v>
      </c>
      <c r="M26" s="5">
        <v>115</v>
      </c>
      <c r="N26" s="5">
        <f t="shared" si="1"/>
        <v>170</v>
      </c>
      <c r="O26" s="5">
        <v>195</v>
      </c>
      <c r="P26" s="5">
        <f t="shared" si="2"/>
        <v>0</v>
      </c>
      <c r="Q26" s="5">
        <v>9</v>
      </c>
      <c r="R26" s="8">
        <f t="shared" si="3"/>
        <v>0.66666666666666663</v>
      </c>
      <c r="S26" s="8">
        <f t="shared" si="4"/>
        <v>0.44230769230769229</v>
      </c>
      <c r="T26" s="7">
        <f t="shared" si="5"/>
        <v>170</v>
      </c>
      <c r="U26" s="7">
        <f t="shared" si="6"/>
        <v>204</v>
      </c>
      <c r="V26" s="15">
        <f t="shared" si="0"/>
        <v>0.70833333333333337</v>
      </c>
      <c r="W26" s="16">
        <f>(Table5[[#This Row],[total_occupied_bed_new]]/Table5[[#This Row],[Total_amount_of_bed_new]])</f>
        <v>0.7846153846153846</v>
      </c>
      <c r="X26" s="7">
        <f>(Table5[[#This Row],[Total_amount_of_bed_new]]-Table5[[#This Row],[Total_amount_of_bed_old]])</f>
        <v>20</v>
      </c>
      <c r="Y26" s="8">
        <f>(Table5[[#This Row],[staff_on_duty_old]]/Table5[[#This Row],[total_occupied_bed_old]])</f>
        <v>0.94117647058823528</v>
      </c>
      <c r="Z26" s="8">
        <f>(Table5[[#This Row],[staff_on_duty_new]]/Table5[[#This Row],[total_occupied_bed_new]])</f>
        <v>0.56372549019607843</v>
      </c>
    </row>
    <row r="27" spans="1:26" ht="27" x14ac:dyDescent="0.35">
      <c r="A27" s="10" t="s">
        <v>31</v>
      </c>
      <c r="B27" s="5">
        <v>90</v>
      </c>
      <c r="C27" s="5">
        <v>185</v>
      </c>
      <c r="D27" s="5">
        <v>30</v>
      </c>
      <c r="E27" s="5">
        <v>78</v>
      </c>
      <c r="F27" s="5">
        <v>0</v>
      </c>
      <c r="G27" s="5">
        <v>15</v>
      </c>
      <c r="H27" s="5">
        <v>0</v>
      </c>
      <c r="I27" s="5">
        <v>6</v>
      </c>
      <c r="J27" s="5">
        <v>90</v>
      </c>
      <c r="K27" s="5">
        <v>200</v>
      </c>
      <c r="L27" s="5">
        <v>65</v>
      </c>
      <c r="M27" s="5">
        <v>90</v>
      </c>
      <c r="N27" s="5">
        <f t="shared" si="1"/>
        <v>60</v>
      </c>
      <c r="O27" s="5">
        <v>107</v>
      </c>
      <c r="P27" s="5">
        <f t="shared" si="2"/>
        <v>0</v>
      </c>
      <c r="Q27" s="5">
        <v>9</v>
      </c>
      <c r="R27" s="8">
        <f t="shared" si="3"/>
        <v>0.72222222222222221</v>
      </c>
      <c r="S27" s="8">
        <f t="shared" si="4"/>
        <v>0.45</v>
      </c>
      <c r="T27" s="7">
        <f t="shared" si="5"/>
        <v>60</v>
      </c>
      <c r="U27" s="7">
        <f t="shared" si="6"/>
        <v>116</v>
      </c>
      <c r="V27" s="15">
        <f t="shared" si="0"/>
        <v>0.66666666666666663</v>
      </c>
      <c r="W27" s="16">
        <f>(Table5[[#This Row],[total_occupied_bed_new]]/Table5[[#This Row],[Total_amount_of_bed_new]])</f>
        <v>0.57999999999999996</v>
      </c>
      <c r="X27" s="7">
        <f>(Table5[[#This Row],[Total_amount_of_bed_new]]-Table5[[#This Row],[Total_amount_of_bed_old]])</f>
        <v>110</v>
      </c>
      <c r="Y27" s="8">
        <f>(Table5[[#This Row],[staff_on_duty_old]]/Table5[[#This Row],[total_occupied_bed_old]])</f>
        <v>1.0833333333333333</v>
      </c>
      <c r="Z27" s="8">
        <f>(Table5[[#This Row],[staff_on_duty_new]]/Table5[[#This Row],[total_occupied_bed_new]])</f>
        <v>0.77586206896551724</v>
      </c>
    </row>
    <row r="28" spans="1:26" x14ac:dyDescent="0.2">
      <c r="B28" s="5"/>
      <c r="C28" s="5"/>
      <c r="D28" s="5"/>
      <c r="E28" s="5"/>
      <c r="F28" s="5"/>
      <c r="G28" s="5"/>
      <c r="H28" s="5"/>
      <c r="I28" s="5"/>
      <c r="J28" s="5"/>
      <c r="K28" s="5"/>
      <c r="L28" s="5"/>
      <c r="M28" s="5"/>
      <c r="N28" s="5"/>
      <c r="O28" s="5"/>
      <c r="P28" s="5"/>
      <c r="Q28" s="5"/>
    </row>
    <row r="29" spans="1:26" s="3" customFormat="1" ht="27" x14ac:dyDescent="0.35">
      <c r="A29" s="10"/>
      <c r="B29" s="7"/>
      <c r="C29" s="7"/>
      <c r="D29" s="7"/>
      <c r="E29" s="7"/>
      <c r="F29" s="7"/>
      <c r="G29" s="7"/>
      <c r="H29" s="7"/>
      <c r="I29" s="7"/>
      <c r="J29" s="7"/>
      <c r="K29" s="7"/>
      <c r="L29" s="7"/>
      <c r="M29" s="7"/>
      <c r="N29" s="7"/>
      <c r="O29" s="7"/>
      <c r="P29" s="7"/>
      <c r="Q29" s="7"/>
    </row>
    <row r="30" spans="1:26" x14ac:dyDescent="0.2">
      <c r="B30" s="5"/>
      <c r="C30" s="5"/>
      <c r="D30" s="5"/>
      <c r="E30" s="5"/>
      <c r="F30" s="5"/>
      <c r="G30" s="5"/>
      <c r="H30" s="5"/>
      <c r="I30" s="5"/>
      <c r="J30" s="5"/>
      <c r="K30" s="5"/>
      <c r="L30" s="5"/>
      <c r="M30" s="5"/>
      <c r="N30" s="5"/>
      <c r="O30" s="5"/>
      <c r="P30" s="5"/>
      <c r="Q30" s="5"/>
    </row>
    <row r="31" spans="1:26" x14ac:dyDescent="0.2">
      <c r="B31" s="5"/>
      <c r="C31" s="5"/>
      <c r="D31" s="5"/>
      <c r="E31" s="5"/>
      <c r="F31" s="5"/>
      <c r="G31" s="5"/>
      <c r="H31" s="5"/>
      <c r="I31" s="5"/>
      <c r="J31" s="5"/>
      <c r="K31" s="5"/>
      <c r="L31" s="5"/>
      <c r="M31" s="5"/>
      <c r="N31" s="5"/>
      <c r="O31" s="5"/>
      <c r="P31" s="5"/>
      <c r="Q31" s="5"/>
    </row>
  </sheetData>
  <mergeCells count="1">
    <mergeCell ref="A1:U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B90F-D246-8D48-8048-90AF42F74C8A}">
  <dimension ref="A35"/>
  <sheetViews>
    <sheetView tabSelected="1" zoomScale="99" zoomScaleNormal="99" workbookViewId="0">
      <selection activeCell="O6" sqref="O6"/>
    </sheetView>
  </sheetViews>
  <sheetFormatPr baseColWidth="10" defaultRowHeight="16" x14ac:dyDescent="0.2"/>
  <cols>
    <col min="1" max="1" width="10.83203125" style="18" customWidth="1"/>
    <col min="2" max="16384" width="10.83203125" style="18"/>
  </cols>
  <sheetData>
    <row r="35" s="18" customForma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DD69F9-1189-BB4D-862F-85B6C54181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Hospital_Bed_Capacity</vt:lpstr>
      <vt:lpstr>Hospital_Bed_Capacity_New</vt:lpstr>
      <vt:lpstr>Delta Capacity</vt:lpstr>
      <vt:lpstr>staffing efficiency change</vt:lpstr>
      <vt:lpstr>ICU heatmap</vt:lpstr>
      <vt:lpstr>Departmental occupancy</vt:lpstr>
      <vt:lpstr>Staff Workload</vt:lpstr>
      <vt:lpstr>Totals</vt:lpstr>
      <vt:lpstr>Hospital_bed_capacity_old_new</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Essiful</dc:creator>
  <cp:lastModifiedBy>Michael Essiful</cp:lastModifiedBy>
  <dcterms:created xsi:type="dcterms:W3CDTF">2025-11-15T15:23:25Z</dcterms:created>
  <dcterms:modified xsi:type="dcterms:W3CDTF">2025-11-16T17:25:10Z</dcterms:modified>
</cp:coreProperties>
</file>